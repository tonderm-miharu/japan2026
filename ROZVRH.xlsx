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lcocloud-my.sharepoint.com/personal/michal_tonder_o2_sk/Documents/Desktop/PROJECT BIG JAPAN 2026/"/>
    </mc:Choice>
  </mc:AlternateContent>
  <xr:revisionPtr revIDLastSave="10" documentId="8_{E5188EBF-1E66-4EA4-831E-1393EE5B905B}" xr6:coauthVersionLast="47" xr6:coauthVersionMax="47" xr10:uidLastSave="{BBC43F72-5139-4FE3-A542-782B516019D6}"/>
  <bookViews>
    <workbookView xWindow="-108" yWindow="-108" windowWidth="23256" windowHeight="13896" xr2:uid="{00000000-000D-0000-FFFF-FFFF00000000}"/>
  </bookViews>
  <sheets>
    <sheet name="basic rozvr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5" i="1" l="1"/>
  <c r="K104" i="1"/>
  <c r="H102" i="1"/>
  <c r="H100" i="1"/>
  <c r="H98" i="1"/>
  <c r="H96" i="1"/>
  <c r="H94" i="1"/>
  <c r="H92" i="1"/>
  <c r="H90" i="1"/>
  <c r="H88" i="1"/>
  <c r="H86" i="1"/>
  <c r="H84" i="1"/>
  <c r="H82" i="1"/>
  <c r="H80" i="1"/>
  <c r="H78" i="1"/>
  <c r="H76" i="1"/>
  <c r="H74" i="1"/>
  <c r="H72" i="1"/>
  <c r="H70" i="1"/>
  <c r="H68" i="1"/>
  <c r="H66" i="1"/>
  <c r="H64" i="1"/>
  <c r="H62" i="1"/>
  <c r="H60" i="1"/>
  <c r="H58" i="1"/>
  <c r="H56" i="1"/>
  <c r="H54" i="1"/>
  <c r="H52" i="1"/>
  <c r="H50" i="1"/>
  <c r="H48" i="1"/>
  <c r="H46" i="1"/>
  <c r="H44" i="1"/>
  <c r="H42" i="1"/>
  <c r="H40" i="1"/>
  <c r="H38" i="1"/>
  <c r="H36" i="1"/>
  <c r="H34" i="1"/>
  <c r="H32" i="1"/>
  <c r="H30" i="1"/>
  <c r="H28" i="1"/>
  <c r="H26" i="1"/>
  <c r="H24" i="1"/>
  <c r="H22" i="1"/>
  <c r="H20" i="1"/>
  <c r="H18" i="1"/>
  <c r="H16" i="1"/>
  <c r="H14" i="1"/>
  <c r="H12" i="1"/>
  <c r="H10" i="1"/>
  <c r="H8" i="1"/>
  <c r="H6" i="1"/>
  <c r="H4" i="1"/>
</calcChain>
</file>

<file path=xl/sharedStrings.xml><?xml version="1.0" encoding="utf-8"?>
<sst xmlns="http://schemas.openxmlformats.org/spreadsheetml/2006/main" count="443" uniqueCount="230">
  <si>
    <t>NOTE</t>
  </si>
  <si>
    <t>DATE</t>
  </si>
  <si>
    <t>NIGHT</t>
  </si>
  <si>
    <t>OSAKA</t>
  </si>
  <si>
    <t>KYOTO</t>
  </si>
  <si>
    <t>OTSU</t>
  </si>
  <si>
    <t>HIKONE</t>
  </si>
  <si>
    <t>FUKUYAMA</t>
  </si>
  <si>
    <t>DAY</t>
  </si>
  <si>
    <t>MASTUYAMA</t>
  </si>
  <si>
    <t>MORNING</t>
  </si>
  <si>
    <t>NOON</t>
  </si>
  <si>
    <t>EVENING</t>
  </si>
  <si>
    <t>BEPPU</t>
  </si>
  <si>
    <t>HOTEL</t>
  </si>
  <si>
    <t>YUFUIN</t>
  </si>
  <si>
    <t>KUMAMOTO</t>
  </si>
  <si>
    <t>PROVIDER</t>
  </si>
  <si>
    <t>MINAMIASO</t>
  </si>
  <si>
    <t>PRICE</t>
  </si>
  <si>
    <t>KUROKAWA ONSEN</t>
  </si>
  <si>
    <t>TAKACHIHO</t>
  </si>
  <si>
    <t>Fr</t>
  </si>
  <si>
    <t>UNZEN</t>
  </si>
  <si>
    <t>OBAMA ONSEN</t>
  </si>
  <si>
    <t>VIE</t>
  </si>
  <si>
    <t>NAGASAKI</t>
  </si>
  <si>
    <t>FLIGHT</t>
  </si>
  <si>
    <t>URESHINO</t>
  </si>
  <si>
    <t>FUKUOKA</t>
  </si>
  <si>
    <t>TOKYO</t>
  </si>
  <si>
    <t>Sa</t>
  </si>
  <si>
    <t>TPE</t>
  </si>
  <si>
    <t>TPE - OSA</t>
  </si>
  <si>
    <t>KISHIDAWA</t>
  </si>
  <si>
    <t>Booking</t>
  </si>
  <si>
    <t xml:space="preserve">po příletu přesun do hotelu a pak festival. zjistit vše potřebné k co logisice, kde jsou nejlepší místa ke sledování, jaké časy, možná i druhý den ráno. </t>
  </si>
  <si>
    <t>ROUTE-INN OSAKA HIGASHIKISHIWADA</t>
  </si>
  <si>
    <t>NAHA</t>
  </si>
  <si>
    <t>Hotel Web</t>
  </si>
  <si>
    <t>pay at the hotel 10 500 + 200, lze pouzit kupon na 500, v mailu ルートインホテルズ</t>
  </si>
  <si>
    <t>JAPANiCAN</t>
  </si>
  <si>
    <t>IKYU</t>
  </si>
  <si>
    <t>9:00-12:50</t>
  </si>
  <si>
    <t>hotel web</t>
  </si>
  <si>
    <t>Su</t>
  </si>
  <si>
    <t>pokud bude pokračovat festival, tak ještě využít ráno a dopoledne čas, pak přesun do Osaky, od 16 home office (HO)</t>
  </si>
  <si>
    <t>Shinsaibashi Arty Inn</t>
  </si>
  <si>
    <t>platba z revolut 17.9. nebo se dá v apce dříve</t>
  </si>
  <si>
    <t>zrušit AGODDU (duplicitní rezercvace double room - 52€ na noc)</t>
  </si>
  <si>
    <t>Mo</t>
  </si>
  <si>
    <t>vymyslet program do začátku HO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</si>
  <si>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</si>
  <si>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16-24:00 HomeOffice</t>
  </si>
  <si>
    <t>Tu</t>
  </si>
  <si>
    <t>We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</si>
  <si>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</si>
  <si>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 xml:space="preserve">vymyslet program do začátku HO </t>
  </si>
  <si>
    <t>WeWork?</t>
  </si>
  <si>
    <t>Th</t>
  </si>
  <si>
    <t>možná zkusit výlet mimo Osaku - v mapách jsem měl jakýsi tunel u JR Takedao Station například</t>
  </si>
  <si>
    <t>vymyslet program, večer pak od 18 critical mass, zajistik  včasHello bike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</si>
  <si>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</si>
  <si>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critical mass</t>
  </si>
  <si>
    <t>dnes setkání s Keigo, napsasat mu aspon 1 týden předem, vymyslket program (pravděpodobně setkání až odpoledne/večer)</t>
  </si>
  <si>
    <t>Keigo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</si>
  <si>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</si>
  <si>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pohodový přesun do Kyota, vymyslet program, využít bike, skusit chrámy mimo centrum (Waterway Pavilion apod)</t>
  </si>
  <si>
    <t>Hedistar Hotel Kyoto Nijo</t>
  </si>
  <si>
    <t>paid</t>
  </si>
  <si>
    <t>dnes celý den setkáni s Takashi</t>
  </si>
  <si>
    <t>Takashi?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</si>
  <si>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</si>
  <si>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UJI</t>
  </si>
  <si>
    <t>20-24:00 HomeOffice</t>
  </si>
  <si>
    <t>paid - separate reservation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</si>
  <si>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</si>
  <si>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otsu . ofuro cafe?</t>
  </si>
  <si>
    <t>vymyslet program včetně přesunu do Ofuro Cafe (stačí tam po 17h, HO až od 20h)</t>
  </si>
  <si>
    <t>Ofurocafe Biwakoza</t>
  </si>
  <si>
    <t>pay at hotel 7584</t>
  </si>
  <si>
    <t>Omihaciman (bike)</t>
  </si>
  <si>
    <t>colina atd?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</si>
  <si>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</si>
  <si>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Hotel Sunroute Hikone</t>
  </si>
  <si>
    <t>biwa cycling</t>
  </si>
  <si>
    <t>jizne od Hikone</t>
  </si>
  <si>
    <t xml:space="preserve">
Welina Hotel Dotonbori</t>
  </si>
  <si>
    <t>Maishima park Osaka?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</si>
  <si>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</si>
  <si>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vymyslet program do začátku HO (např. Maishima Ryokudo apod.)</t>
  </si>
  <si>
    <t>do dnes lze zrusit auto Budget na TRIP.COM</t>
  </si>
  <si>
    <t>Shinsekai nightout kushikatsu/Yaekatsu</t>
  </si>
  <si>
    <t>vymyslet program, potom přesun asi shinkansenem do Fukuyamy od 16 HO</t>
  </si>
  <si>
    <t>CANDEO HOTELS Fukuyama</t>
  </si>
  <si>
    <t>ONOMICHI</t>
  </si>
  <si>
    <t>OMISHIMA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</si>
  <si>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</si>
  <si>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Coliving AND Cafe SANDO</t>
  </si>
  <si>
    <t>odeslat kufr</t>
  </si>
  <si>
    <t>Shimanami start</t>
  </si>
  <si>
    <t>IMABARI</t>
  </si>
  <si>
    <t>pokračování shimanami kaido, vrácení bike v Imabari, přesun do Mastuyamy</t>
  </si>
  <si>
    <t>Hotel Sambancho</t>
  </si>
  <si>
    <t>Snimanami end</t>
  </si>
  <si>
    <t>vymyslet program (klidně například UJI apod.), HO až od 20h</t>
  </si>
  <si>
    <t>Yawatahama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</si>
  <si>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</si>
  <si>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přesun do Yawatahama na ferry (zjistit jizdní řády ferry, přijezd do Beppu po 15h), možná po cetě na shikoku stihnout i Shimohada station (ale není nezbytné, pouze pokud to  bude dávat smysl)</t>
  </si>
  <si>
    <t>Hotel Arthur</t>
  </si>
  <si>
    <t>5.10:</t>
  </si>
  <si>
    <t>pohodové Beppu (už jsem kdysi byl, tak není potřeba Hells apod), možná Oita a podívat se na odjezd hoover craftu?), určitě lokální jídlo</t>
  </si>
  <si>
    <t>vymyslet program, potom HO od 16h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</si>
  <si>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</si>
  <si>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pohodový přeseun do Yufuin (mažná až po obedě?), ověřit dopravu</t>
  </si>
  <si>
    <t>Yufuin Tabinokura</t>
  </si>
  <si>
    <t>24:9:</t>
  </si>
  <si>
    <t>will by paid automaticallz 23:9:</t>
  </si>
  <si>
    <t>free bike</t>
  </si>
  <si>
    <t>přesun do Kumamota, zjistit dopravu (asi přimý express bus - ověřit dostupnost, zabookovat apod)</t>
  </si>
  <si>
    <t>Hotel The Gate Kumamoto</t>
  </si>
  <si>
    <t>teamlab</t>
  </si>
  <si>
    <t>pro tento segment už máme rozpracovaná plán až do Fukuoky, držet se tedy bodů z tohoto pláná</t>
  </si>
  <si>
    <t>Shiki no Mori</t>
  </si>
  <si>
    <t>paid aozomacicaly  6.9.. BREAKFAST incl</t>
  </si>
  <si>
    <t>9:30 Budget Car TRIP.com</t>
  </si>
  <si>
    <t>pozor, sports day</t>
  </si>
  <si>
    <t>CAR: v mailu  car je insurance instruction</t>
  </si>
  <si>
    <t>コンテナハウスヴィラくろかわ</t>
  </si>
  <si>
    <t>bike Omihachima, Colina atd, od 16h HO</t>
  </si>
  <si>
    <t>auto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</si>
  <si>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</si>
  <si>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Hotel Grateful Takachiho</t>
  </si>
  <si>
    <t>pay at hotel 10 120yen</t>
  </si>
  <si>
    <t>bike v okoli jezera (idealne jizne od Hikone), na večer přesun do Osaky (myslet na zavazdalo - logistikuú</t>
  </si>
  <si>
    <t>18:OO Budget car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</si>
  <si>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</si>
  <si>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Oedo Onsen Monogatari  Unzen</t>
  </si>
  <si>
    <t>Revolut</t>
  </si>
  <si>
    <t>odestal kufr</t>
  </si>
  <si>
    <t>?0.5?? kon</t>
  </si>
  <si>
    <t>half board, chckin up to 19h</t>
  </si>
  <si>
    <t>JISCO Hotel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</si>
  <si>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</si>
  <si>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APA Nagasaki Dejima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</si>
  <si>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</si>
  <si>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Kotobukiya</t>
  </si>
  <si>
    <t>ráno start shimanami kaido biking (zajištení půjčení bike, odeslání kufru už FUKUYAMA apod)</t>
  </si>
  <si>
    <t>Takeo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</si>
  <si>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</si>
  <si>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Hotel CASVI Tenjin</t>
  </si>
  <si>
    <t>budova Across</t>
  </si>
  <si>
    <t>FUK - HND</t>
  </si>
  <si>
    <t>přesun do Tokya, letenka zajištěna, spojit s s Rjuki. kunem (asi týden až dva předem) a domluvit se, jaký den se setkat</t>
  </si>
  <si>
    <t>Hotel Sunlite Shinjuku</t>
  </si>
  <si>
    <t>platit na místě 35 640, QR kod checkin</t>
  </si>
  <si>
    <t>12:25 - 14:10</t>
  </si>
  <si>
    <t>Ryukitsuchiama?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</si>
  <si>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</si>
  <si>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https://www.pearlhotels.jp/v/?VID=user.reservation.member&amp;OP=orderDetail&amp;ID=1141477&amp;locale=ja</t>
  </si>
  <si>
    <t>možná dopoledne/poledna setkáni s Wahei (minimálně měsíc předem nebo ještě před odjezdem do Japonska se s ním spojit a domluvit detaily, to samé Minoru-san, setkání některý z večerů v Tokiu</t>
  </si>
  <si>
    <t>braekfast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</si>
  <si>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</si>
  <si>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Wahie?</t>
  </si>
  <si>
    <t>Shogo? Minoru?</t>
  </si>
  <si>
    <t>Kasai Rinkai Park?</t>
  </si>
  <si>
    <t>možná Wahei dnes, případně vymyslet alternativní plán pro tento den, pokud by nikdo neměl čas na sekání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</si>
  <si>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</si>
  <si>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taemLab Borderless?</t>
  </si>
  <si>
    <t>Zmena casu EU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</si>
  <si>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</si>
  <si>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na večer zkusit naplánovat party (minoru, Sata-san případně u Marka v jeho baru Nekorob)</t>
  </si>
  <si>
    <t>https://www.pearlhotels.jp/v/?VID=user.reservation.member&amp;OP=orderDetail&amp;ID=1141476&amp;locale=ja</t>
  </si>
  <si>
    <t>zjistit, zda není critical mass (nebo nástupnický bike event), nezapomenou, že je haloween, vyrazit za zábavou do Shinjuku</t>
  </si>
  <si>
    <t>cm možná až v sobotu?</t>
  </si>
  <si>
    <t>vymyslet program, deeper dive, klidně okrajové části Tokya</t>
  </si>
  <si>
    <t>Togosgi Ginza street</t>
  </si>
  <si>
    <t>Ryuki?</t>
  </si>
  <si>
    <t>15-23:00 HomeOffice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</si>
  <si>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</si>
  <si>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MIYAKOJIMA</t>
  </si>
  <si>
    <t>bank holiday</t>
  </si>
  <si>
    <t>Hotel The Cube Naha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</si>
  <si>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</si>
  <si>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NO</t>
  </si>
  <si>
    <t>vymyslet program včetně amemura, bude-li chut, tak i shopping uniqlo,</t>
  </si>
  <si>
    <t>OKA - TPE</t>
  </si>
  <si>
    <t>Total</t>
  </si>
  <si>
    <t>11:55 - 12:35</t>
  </si>
  <si>
    <t>AVG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</si>
  <si>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</si>
  <si>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Mishima</t>
  </si>
  <si>
    <t>Hokkawa/Akazawa</t>
  </si>
  <si>
    <t>auto start</t>
  </si>
  <si>
    <t>Mt. Omuro → Jogasaki Coast, Kadowaki Suspension Bridge</t>
  </si>
  <si>
    <t>Shimoda</t>
  </si>
  <si>
    <t>Kawazu suspention</t>
  </si>
  <si>
    <t>Fujinomiya</t>
  </si>
  <si>
    <t>shimoda, Kawazu Nanadaru Loop Bridge</t>
  </si>
  <si>
    <t>Hottarakashi</t>
  </si>
  <si>
    <t>fuji, onsen etc</t>
  </si>
  <si>
    <t>auto-end</t>
  </si>
  <si>
    <t>Contact edobicycleart</t>
  </si>
  <si>
    <t>HND - MMY</t>
  </si>
  <si>
    <t>8:20 - 12:50</t>
  </si>
  <si>
    <t>přesun na Miyakojimu, od 15h HO</t>
  </si>
  <si>
    <t>Hotel Locus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</si>
  <si>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</si>
  <si>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ANA letenka</t>
  </si>
  <si>
    <t>dnes program na bike, od 15, pak HO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</si>
  <si>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</si>
  <si>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mozna nutno platit CASH car rental 5300</t>
  </si>
  <si>
    <t>car SOU Company 9-18:30</t>
  </si>
  <si>
    <t>auto rezervováno</t>
  </si>
  <si>
    <t>Smile Hotel Miyakojima</t>
  </si>
  <si>
    <r>
      <rPr>
        <sz val="27"/>
        <color rgb="FFFF0000"/>
        <rFont val="Calibri"/>
      </rPr>
      <t>a</t>
    </r>
    <r>
      <rPr>
        <sz val="27"/>
        <color rgb="FFED7D31"/>
        <rFont val="Calibri"/>
      </rPr>
      <t>g</t>
    </r>
    <r>
      <rPr>
        <sz val="27"/>
        <color rgb="FF70AD47"/>
        <rFont val="Calibri"/>
      </rPr>
      <t>o</t>
    </r>
    <r>
      <rPr>
        <sz val="27"/>
        <color rgb="FFC00000"/>
        <rFont val="Calibri"/>
      </rPr>
      <t>d</t>
    </r>
    <r>
      <rPr>
        <sz val="27"/>
        <color rgb="FF4A86E8"/>
        <rFont val="Calibri"/>
      </rPr>
      <t>a</t>
    </r>
  </si>
  <si>
    <t>MMY - OKA</t>
  </si>
  <si>
    <t>NANJO</t>
  </si>
  <si>
    <t>car od 13</t>
  </si>
  <si>
    <t>11:00 - 11:55</t>
  </si>
  <si>
    <t>přesun do NAHA, letenka koupena, auto v NAHA airport od 13h, potom jih Okinavy</t>
  </si>
  <si>
    <t>Beachside Pension Mibal</t>
  </si>
  <si>
    <t>Hotel paid. JAL letenka</t>
  </si>
  <si>
    <t>沖繩行腳レンタカー (asi doplatit na místě 6700, z toho zaplacen depozit už 670)</t>
  </si>
  <si>
    <t>car do 13</t>
  </si>
  <si>
    <t>pokračování jihu Okinawy, do 13 nábrat auta v Naha airport</t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</si>
  <si>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</si>
  <si>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r>
      <rPr>
        <b/>
        <sz val="25"/>
        <color rgb="FFFFFFFF"/>
        <rFont val="Calibri"/>
      </rPr>
      <t>Trip</t>
    </r>
    <r>
      <rPr>
        <b/>
        <sz val="25"/>
        <color rgb="FFF6B26B"/>
        <rFont val="Calibri"/>
      </rPr>
      <t>.</t>
    </r>
  </si>
  <si>
    <t>napad/instrulce/další info</t>
  </si>
  <si>
    <t>hotel lze zrusit 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</si>
</sst>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\.m"/>
    <numFmt numFmtId="166" formatCode="d\.m\."/>
    <numFmt numFmtId="167" formatCode="#,##0&quot;€&quot;"/>
    <numFmt numFmtId="168" formatCode="#,##0.0&quot;€&quot;"/>
  </numFmts>
  <fonts count="5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FFFFFF"/>
      <name val="Calibri"/>
    </font>
    <font>
      <sz val="10"/>
      <name val="Arial"/>
    </font>
    <font>
      <sz val="14"/>
      <color rgb="FFFFFFFF"/>
      <name val="Calibri"/>
    </font>
    <font>
      <sz val="16"/>
      <color rgb="FFFFFFFF"/>
      <name val="Calibri"/>
    </font>
    <font>
      <sz val="14"/>
      <color rgb="FFFFFF00"/>
      <name val="Calibri"/>
    </font>
    <font>
      <b/>
      <sz val="14"/>
      <color rgb="FFFFFFFF"/>
      <name val="Calibri"/>
    </font>
    <font>
      <b/>
      <sz val="14"/>
      <color rgb="FF00FFFF"/>
      <name val="Calibri"/>
    </font>
    <font>
      <b/>
      <sz val="14"/>
      <color rgb="FF4472C4"/>
      <name val="Calibri"/>
    </font>
    <font>
      <b/>
      <sz val="14"/>
      <color rgb="FFC00000"/>
      <name val="Calibri"/>
    </font>
    <font>
      <sz val="12"/>
      <color rgb="FF4A86E8"/>
      <name val="Calibri"/>
    </font>
    <font>
      <sz val="14"/>
      <color theme="1"/>
      <name val="Calibri"/>
    </font>
    <font>
      <sz val="12"/>
      <color rgb="FFC00000"/>
      <name val="Calibri"/>
    </font>
    <font>
      <b/>
      <sz val="14"/>
      <color rgb="FF4A86E8"/>
      <name val="Calibri"/>
    </font>
    <font>
      <sz val="27"/>
      <color rgb="FFED7D31"/>
      <name val="Calibri"/>
    </font>
    <font>
      <b/>
      <sz val="17"/>
      <color rgb="FFFFFFFF"/>
      <name val="Calibri"/>
    </font>
    <font>
      <b/>
      <sz val="18"/>
      <color rgb="FFFFFFFF"/>
      <name val="Calibri"/>
    </font>
    <font>
      <sz val="11"/>
      <color theme="1"/>
      <name val="Arial"/>
    </font>
    <font>
      <b/>
      <sz val="25"/>
      <color rgb="FFFFFFFF"/>
      <name val="Calibri"/>
    </font>
    <font>
      <b/>
      <sz val="16"/>
      <color theme="0"/>
      <name val="Calibri"/>
    </font>
    <font>
      <b/>
      <sz val="16"/>
      <color rgb="FFFFFF00"/>
      <name val="Calibri"/>
    </font>
    <font>
      <b/>
      <sz val="14"/>
      <color rgb="FF70AD47"/>
      <name val="Calibri"/>
    </font>
    <font>
      <b/>
      <sz val="16"/>
      <color rgb="FFFF0000"/>
      <name val="Calibri"/>
    </font>
    <font>
      <sz val="21"/>
      <color rgb="FFFBBC04"/>
      <name val="Calibri"/>
    </font>
    <font>
      <u/>
      <sz val="11"/>
      <color rgb="FF0000FF"/>
      <name val="Arial"/>
    </font>
    <font>
      <b/>
      <sz val="16"/>
      <color rgb="FFFFD966"/>
      <name val="Calibri"/>
    </font>
    <font>
      <b/>
      <sz val="10"/>
      <color rgb="FFFF0000"/>
      <name val="Arial"/>
    </font>
    <font>
      <sz val="11"/>
      <color rgb="FF000000"/>
      <name val="Calibri"/>
    </font>
    <font>
      <sz val="10"/>
      <color rgb="FFC00000"/>
      <name val="Calibri"/>
    </font>
    <font>
      <sz val="14"/>
      <color rgb="FFFF0000"/>
      <name val="Calibri"/>
    </font>
    <font>
      <sz val="11"/>
      <color rgb="FFFF0000"/>
      <name val="Calibri"/>
    </font>
    <font>
      <sz val="10"/>
      <color rgb="FFFF0000"/>
      <name val="Arial"/>
    </font>
    <font>
      <b/>
      <sz val="12"/>
      <color rgb="FF4A86E8"/>
      <name val="Calibri"/>
    </font>
    <font>
      <b/>
      <sz val="14"/>
      <color rgb="FFFF0000"/>
      <name val="Calibri"/>
    </font>
    <font>
      <u/>
      <sz val="12"/>
      <color rgb="FFC00000"/>
      <name val="Calibri"/>
    </font>
    <font>
      <b/>
      <sz val="12"/>
      <color rgb="FFFF0000"/>
      <name val="Calibri"/>
    </font>
    <font>
      <b/>
      <sz val="16"/>
      <color rgb="FFFFFFFF"/>
      <name val="Calibri"/>
    </font>
    <font>
      <b/>
      <sz val="19"/>
      <color theme="0"/>
      <name val="Calibri"/>
    </font>
    <font>
      <b/>
      <sz val="14"/>
      <color rgb="FFFF00FF"/>
      <name val="Calibri"/>
    </font>
    <font>
      <b/>
      <sz val="17"/>
      <color theme="0"/>
      <name val="Calibri"/>
    </font>
    <font>
      <u/>
      <sz val="11"/>
      <color rgb="FF0000FF"/>
      <name val="Arial"/>
    </font>
    <font>
      <sz val="14"/>
      <color rgb="FF6D9EEB"/>
      <name val="Calibri"/>
    </font>
    <font>
      <sz val="14"/>
      <color rgb="FF00FFFF"/>
      <name val="Calibri"/>
    </font>
    <font>
      <b/>
      <sz val="17"/>
      <color rgb="FFFFD966"/>
      <name val="Calibri"/>
    </font>
    <font>
      <b/>
      <sz val="16"/>
      <color rgb="FF70AD47"/>
      <name val="Calibri"/>
    </font>
    <font>
      <b/>
      <sz val="17"/>
      <color rgb="FF00FFFF"/>
      <name val="Calibri"/>
    </font>
    <font>
      <sz val="27"/>
      <color rgb="FFFF0000"/>
      <name val="Calibri"/>
    </font>
    <font>
      <sz val="27"/>
      <color rgb="FF70AD47"/>
      <name val="Calibri"/>
    </font>
    <font>
      <sz val="27"/>
      <color rgb="FFC00000"/>
      <name val="Calibri"/>
    </font>
    <font>
      <sz val="27"/>
      <color rgb="FF4A86E8"/>
      <name val="Calibri"/>
    </font>
    <font>
      <b/>
      <sz val="25"/>
      <color rgb="FFF6B26B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  <fill>
      <patternFill patternType="solid">
        <fgColor rgb="FF999999"/>
        <bgColor rgb="FF999999"/>
      </patternFill>
    </fill>
    <fill>
      <patternFill patternType="solid">
        <fgColor rgb="FFA6A6A6"/>
        <bgColor rgb="FFA6A6A6"/>
      </patternFill>
    </fill>
    <fill>
      <patternFill patternType="solid">
        <fgColor rgb="FFDDEBF7"/>
        <bgColor rgb="FFDDEBF7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305496"/>
        <bgColor rgb="FF305496"/>
      </patternFill>
    </fill>
    <fill>
      <patternFill patternType="solid">
        <fgColor rgb="FF1155CC"/>
        <bgColor rgb="FF1155CC"/>
      </patternFill>
    </fill>
    <fill>
      <patternFill patternType="solid">
        <fgColor rgb="FF6D9EEB"/>
        <bgColor rgb="FF6D9EEB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theme="1"/>
        <bgColor rgb="FFC27BA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98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20" fontId="11" fillId="7" borderId="5" xfId="0" applyNumberFormat="1" applyFont="1" applyFill="1" applyBorder="1" applyAlignment="1">
      <alignment horizontal="center"/>
    </xf>
    <xf numFmtId="0" fontId="15" fillId="10" borderId="3" xfId="0" applyFont="1" applyFill="1" applyBorder="1" applyAlignment="1">
      <alignment horizontal="center"/>
    </xf>
    <xf numFmtId="0" fontId="19" fillId="2" borderId="4" xfId="0" applyFont="1" applyFill="1" applyBorder="1"/>
    <xf numFmtId="0" fontId="11" fillId="7" borderId="5" xfId="0" applyFont="1" applyFill="1" applyBorder="1" applyAlignment="1">
      <alignment horizontal="center"/>
    </xf>
    <xf numFmtId="0" fontId="2" fillId="14" borderId="5" xfId="0" applyFont="1" applyFill="1" applyBorder="1" applyAlignment="1">
      <alignment horizontal="center"/>
    </xf>
    <xf numFmtId="0" fontId="19" fillId="2" borderId="6" xfId="0" applyFont="1" applyFill="1" applyBorder="1"/>
    <xf numFmtId="0" fontId="26" fillId="2" borderId="6" xfId="0" applyFont="1" applyFill="1" applyBorder="1"/>
    <xf numFmtId="0" fontId="2" fillId="2" borderId="4" xfId="0" applyFont="1" applyFill="1" applyBorder="1"/>
    <xf numFmtId="0" fontId="28" fillId="2" borderId="6" xfId="0" applyFont="1" applyFill="1" applyBorder="1"/>
    <xf numFmtId="0" fontId="29" fillId="15" borderId="5" xfId="0" applyFont="1" applyFill="1" applyBorder="1" applyAlignment="1">
      <alignment horizontal="center"/>
    </xf>
    <xf numFmtId="0" fontId="2" fillId="2" borderId="6" xfId="0" applyFont="1" applyFill="1" applyBorder="1"/>
    <xf numFmtId="0" fontId="30" fillId="0" borderId="5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2" fillId="16" borderId="5" xfId="0" applyFont="1" applyFill="1" applyBorder="1" applyAlignment="1">
      <alignment horizontal="center"/>
    </xf>
    <xf numFmtId="0" fontId="33" fillId="2" borderId="4" xfId="0" applyFont="1" applyFill="1" applyBorder="1"/>
    <xf numFmtId="0" fontId="34" fillId="10" borderId="3" xfId="0" applyFont="1" applyFill="1" applyBorder="1" applyAlignment="1">
      <alignment horizontal="center"/>
    </xf>
    <xf numFmtId="0" fontId="28" fillId="2" borderId="4" xfId="0" applyFont="1" applyFill="1" applyBorder="1"/>
    <xf numFmtId="0" fontId="36" fillId="0" borderId="5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3" fillId="2" borderId="6" xfId="0" applyFont="1" applyFill="1" applyBorder="1"/>
    <xf numFmtId="0" fontId="2" fillId="15" borderId="5" xfId="0" applyFont="1" applyFill="1" applyBorder="1" applyAlignment="1">
      <alignment horizontal="center"/>
    </xf>
    <xf numFmtId="0" fontId="40" fillId="10" borderId="3" xfId="0" applyFont="1" applyFill="1" applyBorder="1" applyAlignment="1">
      <alignment horizontal="center"/>
    </xf>
    <xf numFmtId="0" fontId="42" fillId="2" borderId="6" xfId="0" applyFont="1" applyFill="1" applyBorder="1"/>
    <xf numFmtId="0" fontId="46" fillId="14" borderId="0" xfId="0" applyFont="1" applyFill="1" applyAlignment="1">
      <alignment horizontal="left"/>
    </xf>
    <xf numFmtId="0" fontId="46" fillId="14" borderId="11" xfId="0" applyFont="1" applyFill="1" applyBorder="1" applyAlignment="1">
      <alignment horizontal="left"/>
    </xf>
    <xf numFmtId="168" fontId="1" fillId="0" borderId="0" xfId="0" applyNumberFormat="1" applyFont="1"/>
    <xf numFmtId="0" fontId="4" fillId="0" borderId="8" xfId="0" applyFont="1" applyBorder="1"/>
    <xf numFmtId="0" fontId="4" fillId="0" borderId="10" xfId="0" applyFont="1" applyBorder="1"/>
    <xf numFmtId="0" fontId="4" fillId="0" borderId="5" xfId="0" applyFont="1" applyBorder="1"/>
    <xf numFmtId="0" fontId="7" fillId="4" borderId="0" xfId="0" applyFont="1" applyFill="1" applyAlignment="1">
      <alignment horizontal="center" vertical="center"/>
    </xf>
    <xf numFmtId="0" fontId="4" fillId="0" borderId="11" xfId="0" applyFont="1" applyBorder="1"/>
    <xf numFmtId="0" fontId="8" fillId="3" borderId="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4" fillId="0" borderId="2" xfId="0" applyFont="1" applyBorder="1"/>
    <xf numFmtId="0" fontId="16" fillId="2" borderId="7" xfId="0" applyFont="1" applyFill="1" applyBorder="1" applyAlignment="1">
      <alignment horizontal="center" vertical="top"/>
    </xf>
    <xf numFmtId="0" fontId="18" fillId="11" borderId="7" xfId="0" applyFont="1" applyFill="1" applyBorder="1" applyAlignment="1">
      <alignment horizontal="center" vertical="center"/>
    </xf>
    <xf numFmtId="0" fontId="4" fillId="0" borderId="12" xfId="0" applyFont="1" applyBorder="1"/>
    <xf numFmtId="0" fontId="20" fillId="12" borderId="7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2" fillId="13" borderId="7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4" fillId="0" borderId="6" xfId="0" applyFont="1" applyBorder="1"/>
    <xf numFmtId="0" fontId="21" fillId="8" borderId="4" xfId="0" applyFont="1" applyFill="1" applyBorder="1" applyAlignment="1">
      <alignment horizontal="left" vertical="center" wrapText="1"/>
    </xf>
    <xf numFmtId="166" fontId="2" fillId="14" borderId="0" xfId="0" applyNumberFormat="1" applyFont="1" applyFill="1" applyAlignment="1">
      <alignment horizontal="right" vertical="center"/>
    </xf>
    <xf numFmtId="167" fontId="23" fillId="14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left" vertical="center" wrapText="1"/>
    </xf>
    <xf numFmtId="0" fontId="7" fillId="15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31" fillId="15" borderId="0" xfId="0" applyFont="1" applyFill="1" applyAlignment="1">
      <alignment horizontal="center" vertical="center"/>
    </xf>
    <xf numFmtId="0" fontId="21" fillId="8" borderId="4" xfId="0" applyFont="1" applyFill="1" applyBorder="1" applyAlignment="1">
      <alignment horizontal="left" wrapText="1"/>
    </xf>
    <xf numFmtId="0" fontId="38" fillId="8" borderId="4" xfId="0" applyFont="1" applyFill="1" applyBorder="1" applyAlignment="1">
      <alignment horizontal="left" vertical="center" wrapText="1"/>
    </xf>
    <xf numFmtId="0" fontId="39" fillId="18" borderId="7" xfId="0" applyFont="1" applyFill="1" applyBorder="1" applyAlignment="1">
      <alignment horizontal="center" vertical="center"/>
    </xf>
    <xf numFmtId="0" fontId="41" fillId="8" borderId="4" xfId="0" applyFont="1" applyFill="1" applyBorder="1" applyAlignment="1">
      <alignment horizontal="left" vertical="center" wrapText="1"/>
    </xf>
    <xf numFmtId="166" fontId="19" fillId="14" borderId="0" xfId="0" applyNumberFormat="1" applyFont="1" applyFill="1" applyAlignment="1">
      <alignment horizontal="right" vertical="center"/>
    </xf>
    <xf numFmtId="0" fontId="43" fillId="2" borderId="7" xfId="0" applyFont="1" applyFill="1" applyBorder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47" fillId="5" borderId="4" xfId="0" applyFont="1" applyFill="1" applyBorder="1" applyAlignment="1">
      <alignment horizontal="center" vertical="center"/>
    </xf>
    <xf numFmtId="0" fontId="45" fillId="8" borderId="4" xfId="0" applyFont="1" applyFill="1" applyBorder="1" applyAlignment="1">
      <alignment horizontal="left" vertical="center" wrapText="1"/>
    </xf>
    <xf numFmtId="0" fontId="33" fillId="14" borderId="0" xfId="0" applyFont="1" applyFill="1" applyAlignment="1">
      <alignment horizontal="center" vertical="center"/>
    </xf>
    <xf numFmtId="167" fontId="23" fillId="14" borderId="2" xfId="0" applyNumberFormat="1" applyFont="1" applyFill="1" applyBorder="1" applyAlignment="1">
      <alignment horizontal="right"/>
    </xf>
    <xf numFmtId="168" fontId="23" fillId="14" borderId="11" xfId="0" applyNumberFormat="1" applyFont="1" applyFill="1" applyBorder="1" applyAlignment="1">
      <alignment horizontal="right"/>
    </xf>
    <xf numFmtId="167" fontId="35" fillId="14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right" vertical="center"/>
    </xf>
    <xf numFmtId="0" fontId="5" fillId="4" borderId="7" xfId="0" applyFont="1" applyFill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4" fillId="0" borderId="4" xfId="0" applyFont="1" applyBorder="1" applyAlignment="1"/>
    <xf numFmtId="0" fontId="4" fillId="0" borderId="6" xfId="0" applyFont="1" applyBorder="1" applyAlignment="1"/>
    <xf numFmtId="0" fontId="5" fillId="4" borderId="9" xfId="0" applyFont="1" applyFill="1" applyBorder="1" applyAlignment="1">
      <alignment vertical="center"/>
    </xf>
    <xf numFmtId="165" fontId="9" fillId="19" borderId="3" xfId="0" applyNumberFormat="1" applyFont="1" applyFill="1" applyBorder="1" applyAlignment="1">
      <alignment horizontal="center" vertical="center"/>
    </xf>
    <xf numFmtId="0" fontId="4" fillId="20" borderId="5" xfId="0" applyFont="1" applyFill="1" applyBorder="1"/>
    <xf numFmtId="165" fontId="9" fillId="21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arlhotels.jp/v/?VID=user.reservation.member&amp;OP=orderDetail&amp;ID=1141477&amp;locale=ja" TargetMode="External"/><Relationship Id="rId2" Type="http://schemas.openxmlformats.org/officeDocument/2006/relationships/hyperlink" Target="http://ikyu.com/" TargetMode="External"/><Relationship Id="rId1" Type="http://schemas.openxmlformats.org/officeDocument/2006/relationships/hyperlink" Target="https://u10571429.ct.sendgrid.net/ls/click?upn=u001.af5Rj3oWrYJJU9R9p-2FHRSKM5w56ImdjpXvpSqbJswC1dpuddcQ7qci-2B374QG3N0tDjbz-2FQ0c0-2Br5tuByTFwrU-2BzUGxpF0zfBWoRueSptuT823JZ4T8MufxLu-2FL9-2F7s-2B6EyHRYdGjICD3dI36VJ32ssM3sSltCnpOCHEAkXabq-2BX1-2BPW1Iu0iE1XI47ZHtQ86COe3npEXej5ZH4LFwDaBMC0jLGtw9Z5rcf3xg-2Fg29tvCdlRDf7OUCDoScT6Ey-2BFKtUj2OAd2c4ONGW6Z7Anok0jOG6NqHhKpOW7rZiieVCk-3DO01I_R1-2B1L3jX0dVZYT7M-2BgQ-2Bb2D4iC51cdYyuzrKOLkGW6EW8OIb6tYUWShY4B-2F5M8ZQljYIYScfGbX1lqLz6uU70O2pI9DnDeRTS5DklYZ375Z8PQ6fOjuVj4-2Fosu85ZRQh9hRhP5gNK9cfpVXCLUBtWWOxVQJdUCDbyeb4lZjxwBSBrkI8ohuN5nKko5t1GRjBUkY2opwZ2PSrPs2N6ERbofCCthVYu-2FllIMHX0yYHxwz-2FGSPJGgx2m93YkcjI3S2-2FHMi9DGItAGm4a44M8aVH6QQPd8XZqnw6hZZJLQRA-2Blbkij9y2npk2fuTgx6EAx-2FbuiKbafD7y39PUm8HvsCnvS64kYiXHsgZ-2Fc6XVFf9px3s2JjD-2BfZOlnOljF7TDOEnBaDRz2MnB1LzSy-2B9ISFOsA-3D-3D" TargetMode="External"/><Relationship Id="rId4" Type="http://schemas.openxmlformats.org/officeDocument/2006/relationships/hyperlink" Target="https://www.pearlhotels.jp/v/?VID=user.reservation.member&amp;OP=orderDetail&amp;ID=1141476&amp;locale=j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50"/>
  <sheetViews>
    <sheetView showGridLines="0" tabSelected="1" topLeftCell="B86" workbookViewId="0">
      <selection activeCell="C86" sqref="C86:C107"/>
    </sheetView>
  </sheetViews>
  <sheetFormatPr defaultColWidth="12.6640625" defaultRowHeight="15.75" customHeight="1" x14ac:dyDescent="0.25"/>
  <cols>
    <col min="1" max="1" width="8.44140625" hidden="1" customWidth="1"/>
    <col min="2" max="2" width="4.88671875" customWidth="1"/>
    <col min="3" max="3" width="9.77734375" customWidth="1"/>
    <col min="4" max="4" width="6.109375" customWidth="1"/>
    <col min="5" max="5" width="22.6640625" customWidth="1"/>
    <col min="6" max="7" width="21" customWidth="1"/>
    <col min="8" max="8" width="27" customWidth="1"/>
    <col min="9" max="9" width="73.109375" customWidth="1"/>
    <col min="10" max="10" width="26.6640625" customWidth="1"/>
    <col min="11" max="11" width="15.6640625" customWidth="1"/>
    <col min="12" max="13" width="8" customWidth="1"/>
    <col min="14" max="14" width="84.6640625" customWidth="1"/>
  </cols>
  <sheetData>
    <row r="1" spans="1:14" ht="15.75" customHeight="1" x14ac:dyDescent="0.35">
      <c r="B1" s="3" t="s">
        <v>8</v>
      </c>
      <c r="C1" s="3" t="s">
        <v>1</v>
      </c>
      <c r="D1" s="4"/>
      <c r="E1" s="4" t="s">
        <v>10</v>
      </c>
      <c r="F1" s="4" t="s">
        <v>11</v>
      </c>
      <c r="G1" s="4" t="s">
        <v>12</v>
      </c>
      <c r="H1" s="78" t="s">
        <v>2</v>
      </c>
      <c r="I1" s="5" t="s">
        <v>228</v>
      </c>
      <c r="J1" s="80" t="s">
        <v>14</v>
      </c>
      <c r="K1" s="83" t="s">
        <v>17</v>
      </c>
      <c r="L1" s="83" t="s">
        <v>229</v>
      </c>
      <c r="M1" s="83" t="s">
        <v>19</v>
      </c>
      <c r="N1" s="83" t="s">
        <v>0</v>
      </c>
    </row>
    <row r="2" spans="1:14" ht="15.75" customHeight="1" x14ac:dyDescent="0.35">
      <c r="A2" s="40">
        <v>1</v>
      </c>
      <c r="B2" s="42" t="s">
        <v>22</v>
      </c>
      <c r="C2" s="86">
        <v>46283</v>
      </c>
      <c r="D2" s="40">
        <v>1</v>
      </c>
      <c r="E2" s="6"/>
      <c r="F2" s="7" t="s">
        <v>25</v>
      </c>
      <c r="G2" s="8"/>
      <c r="H2" s="43" t="s">
        <v>27</v>
      </c>
      <c r="I2" s="52"/>
      <c r="J2" s="81"/>
      <c r="K2" s="81"/>
      <c r="L2" s="81"/>
      <c r="M2" s="81"/>
      <c r="N2" s="81"/>
    </row>
    <row r="3" spans="1:14" ht="15.75" customHeight="1" x14ac:dyDescent="0.35">
      <c r="A3" s="41"/>
      <c r="B3" s="39"/>
      <c r="C3" s="85"/>
      <c r="D3" s="41"/>
      <c r="E3" s="9"/>
      <c r="F3" s="10">
        <v>0.47569444444444442</v>
      </c>
      <c r="G3" s="9"/>
      <c r="H3" s="38"/>
      <c r="I3" s="79"/>
      <c r="J3" s="82"/>
      <c r="K3" s="82"/>
      <c r="L3" s="82"/>
      <c r="M3" s="82"/>
      <c r="N3" s="82"/>
    </row>
    <row r="4" spans="1:14" ht="15.75" customHeight="1" x14ac:dyDescent="0.35">
      <c r="A4" s="57"/>
      <c r="B4" s="58" t="s">
        <v>31</v>
      </c>
      <c r="C4" s="86">
        <v>46284</v>
      </c>
      <c r="D4" s="57"/>
      <c r="E4" s="7" t="s">
        <v>32</v>
      </c>
      <c r="F4" s="7" t="s">
        <v>33</v>
      </c>
      <c r="G4" s="11" t="s">
        <v>34</v>
      </c>
      <c r="H4" s="59" t="str">
        <f>G4</f>
        <v>KISHIDAWA</v>
      </c>
      <c r="I4" s="12" t="s">
        <v>36</v>
      </c>
      <c r="J4" s="54" t="s">
        <v>37</v>
      </c>
      <c r="K4" s="50" t="s">
        <v>39</v>
      </c>
      <c r="L4" s="55">
        <v>46279</v>
      </c>
      <c r="M4" s="56">
        <v>58</v>
      </c>
      <c r="N4" s="12" t="s">
        <v>40</v>
      </c>
    </row>
    <row r="5" spans="1:14" ht="15.75" customHeight="1" x14ac:dyDescent="0.35">
      <c r="A5" s="41"/>
      <c r="B5" s="39"/>
      <c r="C5" s="85"/>
      <c r="D5" s="41"/>
      <c r="E5" s="10">
        <v>0.22916666666666666</v>
      </c>
      <c r="F5" s="13" t="s">
        <v>43</v>
      </c>
      <c r="G5" s="14"/>
      <c r="H5" s="53"/>
      <c r="I5" s="15"/>
      <c r="J5" s="53"/>
      <c r="K5" s="38"/>
      <c r="L5" s="41"/>
      <c r="M5" s="41"/>
      <c r="N5" s="16" t="s">
        <v>44</v>
      </c>
    </row>
    <row r="6" spans="1:14" ht="15.75" customHeight="1" x14ac:dyDescent="0.35">
      <c r="A6" s="57"/>
      <c r="B6" s="58" t="s">
        <v>45</v>
      </c>
      <c r="C6" s="86">
        <v>46285</v>
      </c>
      <c r="D6" s="57"/>
      <c r="E6" s="11" t="s">
        <v>3</v>
      </c>
      <c r="F6" s="11" t="s">
        <v>3</v>
      </c>
      <c r="G6" s="11" t="s">
        <v>3</v>
      </c>
      <c r="H6" s="59" t="str">
        <f>G6</f>
        <v>OSAKA</v>
      </c>
      <c r="I6" s="17" t="s">
        <v>46</v>
      </c>
      <c r="J6" s="60" t="s">
        <v>47</v>
      </c>
      <c r="K6" s="48" t="s">
        <v>52</v>
      </c>
      <c r="L6" s="55">
        <v>46283</v>
      </c>
      <c r="M6" s="56">
        <v>43</v>
      </c>
      <c r="N6" s="17" t="s">
        <v>48</v>
      </c>
    </row>
    <row r="7" spans="1:14" ht="15.75" customHeight="1" x14ac:dyDescent="0.25">
      <c r="A7" s="41"/>
      <c r="B7" s="39"/>
      <c r="C7" s="85"/>
      <c r="D7" s="41"/>
      <c r="E7" s="14"/>
      <c r="F7" s="14"/>
      <c r="G7" s="14"/>
      <c r="H7" s="53"/>
      <c r="I7" s="18"/>
      <c r="J7" s="53"/>
      <c r="K7" s="38"/>
      <c r="L7" s="41"/>
      <c r="M7" s="41"/>
      <c r="N7" s="18" t="s">
        <v>49</v>
      </c>
    </row>
    <row r="8" spans="1:14" ht="15.75" customHeight="1" x14ac:dyDescent="0.35">
      <c r="A8" s="61">
        <v>0</v>
      </c>
      <c r="B8" s="42" t="s">
        <v>50</v>
      </c>
      <c r="C8" s="86">
        <v>46286</v>
      </c>
      <c r="D8" s="61">
        <v>0</v>
      </c>
      <c r="E8" s="11" t="s">
        <v>3</v>
      </c>
      <c r="F8" s="11" t="s">
        <v>3</v>
      </c>
      <c r="G8" s="11" t="s">
        <v>3</v>
      </c>
      <c r="H8" s="59" t="str">
        <f>G8</f>
        <v>OSAKA</v>
      </c>
      <c r="I8" s="17" t="s">
        <v>51</v>
      </c>
      <c r="J8" s="60" t="s">
        <v>47</v>
      </c>
      <c r="K8" s="48" t="s">
        <v>56</v>
      </c>
      <c r="L8" s="55">
        <v>46283</v>
      </c>
      <c r="M8" s="56">
        <v>43</v>
      </c>
      <c r="N8" s="17"/>
    </row>
    <row r="9" spans="1:14" ht="15.75" customHeight="1" x14ac:dyDescent="0.3">
      <c r="A9" s="41"/>
      <c r="B9" s="39"/>
      <c r="C9" s="85"/>
      <c r="D9" s="41"/>
      <c r="E9" s="9"/>
      <c r="F9" s="9"/>
      <c r="G9" s="19" t="s">
        <v>53</v>
      </c>
      <c r="H9" s="53"/>
      <c r="I9" s="20"/>
      <c r="J9" s="53"/>
      <c r="K9" s="38"/>
      <c r="L9" s="41"/>
      <c r="M9" s="41"/>
      <c r="N9" s="20"/>
    </row>
    <row r="10" spans="1:14" ht="15.75" customHeight="1" x14ac:dyDescent="0.35">
      <c r="A10" s="61">
        <v>0</v>
      </c>
      <c r="B10" s="42" t="s">
        <v>54</v>
      </c>
      <c r="C10" s="86">
        <v>46287</v>
      </c>
      <c r="D10" s="61">
        <v>0</v>
      </c>
      <c r="E10" s="11" t="s">
        <v>3</v>
      </c>
      <c r="F10" s="11" t="s">
        <v>3</v>
      </c>
      <c r="G10" s="11" t="s">
        <v>3</v>
      </c>
      <c r="H10" s="59" t="str">
        <f>G10</f>
        <v>OSAKA</v>
      </c>
      <c r="I10" s="17" t="s">
        <v>51</v>
      </c>
      <c r="J10" s="60" t="s">
        <v>47</v>
      </c>
      <c r="K10" s="48" t="s">
        <v>62</v>
      </c>
      <c r="L10" s="55">
        <v>46283</v>
      </c>
      <c r="M10" s="56">
        <v>43</v>
      </c>
      <c r="N10" s="17"/>
    </row>
    <row r="11" spans="1:14" ht="15.75" customHeight="1" x14ac:dyDescent="0.3">
      <c r="A11" s="41"/>
      <c r="B11" s="39"/>
      <c r="C11" s="85"/>
      <c r="D11" s="41"/>
      <c r="E11" s="21"/>
      <c r="F11" s="9"/>
      <c r="G11" s="19" t="s">
        <v>53</v>
      </c>
      <c r="H11" s="53"/>
      <c r="I11" s="20"/>
      <c r="J11" s="53"/>
      <c r="K11" s="38"/>
      <c r="L11" s="41"/>
      <c r="M11" s="41"/>
      <c r="N11" s="20"/>
    </row>
    <row r="12" spans="1:14" ht="15.75" customHeight="1" x14ac:dyDescent="0.35">
      <c r="A12" s="61">
        <v>0</v>
      </c>
      <c r="B12" s="42" t="s">
        <v>55</v>
      </c>
      <c r="C12" s="86">
        <v>46288</v>
      </c>
      <c r="D12" s="61">
        <v>0</v>
      </c>
      <c r="E12" s="11" t="s">
        <v>3</v>
      </c>
      <c r="F12" s="11" t="s">
        <v>3</v>
      </c>
      <c r="G12" s="11" t="s">
        <v>3</v>
      </c>
      <c r="H12" s="59" t="str">
        <f>G12</f>
        <v>OSAKA</v>
      </c>
      <c r="I12" s="17" t="s">
        <v>57</v>
      </c>
      <c r="J12" s="60" t="s">
        <v>47</v>
      </c>
      <c r="K12" s="48" t="s">
        <v>66</v>
      </c>
      <c r="L12" s="55">
        <v>46283</v>
      </c>
      <c r="M12" s="56">
        <v>43</v>
      </c>
      <c r="N12" s="17"/>
    </row>
    <row r="13" spans="1:14" ht="15.75" customHeight="1" x14ac:dyDescent="0.3">
      <c r="A13" s="41"/>
      <c r="B13" s="39"/>
      <c r="C13" s="85"/>
      <c r="D13" s="41"/>
      <c r="E13" s="9"/>
      <c r="F13" s="9" t="s">
        <v>58</v>
      </c>
      <c r="G13" s="19" t="s">
        <v>53</v>
      </c>
      <c r="H13" s="53"/>
      <c r="I13" s="20"/>
      <c r="J13" s="53"/>
      <c r="K13" s="38"/>
      <c r="L13" s="41"/>
      <c r="M13" s="41"/>
      <c r="N13" s="20"/>
    </row>
    <row r="14" spans="1:14" ht="15.75" customHeight="1" x14ac:dyDescent="0.35">
      <c r="A14" s="61">
        <v>0</v>
      </c>
      <c r="B14" s="42" t="s">
        <v>59</v>
      </c>
      <c r="C14" s="86">
        <v>46289</v>
      </c>
      <c r="D14" s="61">
        <v>0</v>
      </c>
      <c r="E14" s="11" t="s">
        <v>3</v>
      </c>
      <c r="F14" s="11" t="s">
        <v>3</v>
      </c>
      <c r="G14" s="11" t="s">
        <v>3</v>
      </c>
      <c r="H14" s="59" t="str">
        <f>G14</f>
        <v>OSAKA</v>
      </c>
      <c r="I14" s="17" t="s">
        <v>60</v>
      </c>
      <c r="J14" s="60" t="s">
        <v>47</v>
      </c>
      <c r="K14" s="48" t="s">
        <v>72</v>
      </c>
      <c r="L14" s="55">
        <v>46283</v>
      </c>
      <c r="M14" s="56">
        <v>43</v>
      </c>
      <c r="N14" s="17"/>
    </row>
    <row r="15" spans="1:14" ht="15.75" customHeight="1" x14ac:dyDescent="0.3">
      <c r="A15" s="41"/>
      <c r="B15" s="39"/>
      <c r="C15" s="85"/>
      <c r="D15" s="41"/>
      <c r="E15" s="9"/>
      <c r="F15" s="9"/>
      <c r="G15" s="22"/>
      <c r="H15" s="53"/>
      <c r="I15" s="20"/>
      <c r="J15" s="53"/>
      <c r="K15" s="38"/>
      <c r="L15" s="41"/>
      <c r="M15" s="41"/>
      <c r="N15" s="20"/>
    </row>
    <row r="16" spans="1:14" ht="15.75" customHeight="1" x14ac:dyDescent="0.35">
      <c r="A16" s="40">
        <v>1</v>
      </c>
      <c r="B16" s="42" t="s">
        <v>22</v>
      </c>
      <c r="C16" s="86">
        <v>46290</v>
      </c>
      <c r="D16" s="40">
        <v>1</v>
      </c>
      <c r="E16" s="11" t="s">
        <v>3</v>
      </c>
      <c r="F16" s="11" t="s">
        <v>3</v>
      </c>
      <c r="G16" s="11" t="s">
        <v>3</v>
      </c>
      <c r="H16" s="59" t="str">
        <f>G16</f>
        <v>OSAKA</v>
      </c>
      <c r="I16" s="17" t="s">
        <v>61</v>
      </c>
      <c r="J16" s="60" t="s">
        <v>47</v>
      </c>
      <c r="K16" s="48" t="s">
        <v>76</v>
      </c>
      <c r="L16" s="55">
        <v>46283</v>
      </c>
      <c r="M16" s="56">
        <v>43</v>
      </c>
      <c r="N16" s="17"/>
    </row>
    <row r="17" spans="1:14" ht="15.75" customHeight="1" x14ac:dyDescent="0.3">
      <c r="A17" s="41"/>
      <c r="B17" s="39"/>
      <c r="C17" s="85"/>
      <c r="D17" s="41"/>
      <c r="E17" s="9"/>
      <c r="F17" s="9"/>
      <c r="G17" s="23" t="s">
        <v>63</v>
      </c>
      <c r="H17" s="53"/>
      <c r="I17" s="20"/>
      <c r="J17" s="53"/>
      <c r="K17" s="38"/>
      <c r="L17" s="41"/>
      <c r="M17" s="41"/>
      <c r="N17" s="20"/>
    </row>
    <row r="18" spans="1:14" ht="15.75" customHeight="1" x14ac:dyDescent="0.35">
      <c r="A18" s="57"/>
      <c r="B18" s="58" t="s">
        <v>31</v>
      </c>
      <c r="C18" s="86">
        <v>46291</v>
      </c>
      <c r="D18" s="57"/>
      <c r="E18" s="11" t="s">
        <v>3</v>
      </c>
      <c r="F18" s="11" t="s">
        <v>3</v>
      </c>
      <c r="G18" s="11" t="s">
        <v>3</v>
      </c>
      <c r="H18" s="59" t="str">
        <f>G18</f>
        <v>OSAKA</v>
      </c>
      <c r="I18" s="17" t="s">
        <v>64</v>
      </c>
      <c r="J18" s="60" t="s">
        <v>47</v>
      </c>
      <c r="K18" s="48" t="s">
        <v>83</v>
      </c>
      <c r="L18" s="55">
        <v>46283</v>
      </c>
      <c r="M18" s="56">
        <v>43</v>
      </c>
      <c r="N18" s="17"/>
    </row>
    <row r="19" spans="1:14" ht="15.75" customHeight="1" x14ac:dyDescent="0.25">
      <c r="A19" s="41"/>
      <c r="B19" s="39"/>
      <c r="C19" s="85"/>
      <c r="D19" s="41"/>
      <c r="E19" s="14"/>
      <c r="F19" s="14"/>
      <c r="G19" s="14" t="s">
        <v>65</v>
      </c>
      <c r="H19" s="53"/>
      <c r="I19" s="20"/>
      <c r="J19" s="53"/>
      <c r="K19" s="38"/>
      <c r="L19" s="41"/>
      <c r="M19" s="41"/>
      <c r="N19" s="20"/>
    </row>
    <row r="20" spans="1:14" ht="15.75" customHeight="1" x14ac:dyDescent="0.35">
      <c r="A20" s="57"/>
      <c r="B20" s="58" t="s">
        <v>45</v>
      </c>
      <c r="C20" s="86">
        <v>46292</v>
      </c>
      <c r="D20" s="57"/>
      <c r="E20" s="11" t="s">
        <v>3</v>
      </c>
      <c r="F20" s="11" t="s">
        <v>4</v>
      </c>
      <c r="G20" s="11" t="s">
        <v>4</v>
      </c>
      <c r="H20" s="59" t="str">
        <f>G20</f>
        <v>KYOTO</v>
      </c>
      <c r="I20" s="17" t="s">
        <v>67</v>
      </c>
      <c r="J20" s="54" t="s">
        <v>68</v>
      </c>
      <c r="K20" s="48" t="s">
        <v>89</v>
      </c>
      <c r="L20" s="55">
        <v>46291</v>
      </c>
      <c r="M20" s="56">
        <v>24</v>
      </c>
      <c r="N20" s="17" t="s">
        <v>69</v>
      </c>
    </row>
    <row r="21" spans="1:14" ht="15.75" customHeight="1" x14ac:dyDescent="0.25">
      <c r="A21" s="41"/>
      <c r="B21" s="39"/>
      <c r="C21" s="85"/>
      <c r="D21" s="41"/>
      <c r="E21" s="14"/>
      <c r="F21" s="14"/>
      <c r="G21" s="14"/>
      <c r="H21" s="53"/>
      <c r="I21" s="20"/>
      <c r="J21" s="53"/>
      <c r="K21" s="38"/>
      <c r="L21" s="41"/>
      <c r="M21" s="41"/>
      <c r="N21" s="20"/>
    </row>
    <row r="22" spans="1:14" ht="15.75" customHeight="1" x14ac:dyDescent="0.35">
      <c r="A22" s="40">
        <v>1</v>
      </c>
      <c r="B22" s="42" t="s">
        <v>50</v>
      </c>
      <c r="C22" s="86">
        <v>46293</v>
      </c>
      <c r="D22" s="40">
        <v>1</v>
      </c>
      <c r="E22" s="11" t="s">
        <v>4</v>
      </c>
      <c r="F22" s="11" t="s">
        <v>4</v>
      </c>
      <c r="G22" s="11" t="s">
        <v>4</v>
      </c>
      <c r="H22" s="59" t="str">
        <f>G22</f>
        <v>KYOTO</v>
      </c>
      <c r="I22" s="17" t="s">
        <v>70</v>
      </c>
      <c r="J22" s="54" t="s">
        <v>68</v>
      </c>
      <c r="K22" s="48" t="s">
        <v>97</v>
      </c>
      <c r="L22" s="55">
        <v>46291</v>
      </c>
      <c r="M22" s="56">
        <v>24</v>
      </c>
      <c r="N22" s="17" t="s">
        <v>69</v>
      </c>
    </row>
    <row r="23" spans="1:14" ht="15.75" customHeight="1" x14ac:dyDescent="0.3">
      <c r="A23" s="41"/>
      <c r="B23" s="39"/>
      <c r="C23" s="85"/>
      <c r="D23" s="41"/>
      <c r="E23" s="9"/>
      <c r="F23" s="9" t="s">
        <v>71</v>
      </c>
      <c r="G23" s="22"/>
      <c r="H23" s="53"/>
      <c r="I23" s="20"/>
      <c r="J23" s="53"/>
      <c r="K23" s="38"/>
      <c r="L23" s="41"/>
      <c r="M23" s="41"/>
      <c r="N23" s="20"/>
    </row>
    <row r="24" spans="1:14" ht="15.75" customHeight="1" x14ac:dyDescent="0.35">
      <c r="A24" s="63">
        <v>0.5</v>
      </c>
      <c r="B24" s="42" t="s">
        <v>54</v>
      </c>
      <c r="C24" s="86">
        <v>46294</v>
      </c>
      <c r="D24" s="61">
        <v>0</v>
      </c>
      <c r="E24" s="11" t="s">
        <v>4</v>
      </c>
      <c r="F24" s="11" t="s">
        <v>4</v>
      </c>
      <c r="G24" s="11" t="s">
        <v>4</v>
      </c>
      <c r="H24" s="59" t="str">
        <f>G24</f>
        <v>KYOTO</v>
      </c>
      <c r="I24" s="17" t="s">
        <v>105</v>
      </c>
      <c r="J24" s="54" t="s">
        <v>68</v>
      </c>
      <c r="K24" s="48" t="s">
        <v>107</v>
      </c>
      <c r="L24" s="55">
        <v>46291</v>
      </c>
      <c r="M24" s="56">
        <v>24</v>
      </c>
      <c r="N24" s="17" t="s">
        <v>69</v>
      </c>
    </row>
    <row r="25" spans="1:14" ht="15.75" customHeight="1" x14ac:dyDescent="0.3">
      <c r="A25" s="41"/>
      <c r="B25" s="39"/>
      <c r="C25" s="85"/>
      <c r="D25" s="41"/>
      <c r="E25" s="9"/>
      <c r="F25" s="9" t="s">
        <v>73</v>
      </c>
      <c r="G25" s="24" t="s">
        <v>74</v>
      </c>
      <c r="H25" s="53"/>
      <c r="I25" s="20"/>
      <c r="J25" s="53"/>
      <c r="K25" s="38"/>
      <c r="L25" s="41"/>
      <c r="M25" s="41"/>
      <c r="N25" s="20"/>
    </row>
    <row r="26" spans="1:14" ht="15.75" customHeight="1" x14ac:dyDescent="0.35">
      <c r="A26" s="61">
        <v>0</v>
      </c>
      <c r="B26" s="42" t="s">
        <v>55</v>
      </c>
      <c r="C26" s="86">
        <v>46295</v>
      </c>
      <c r="D26" s="61">
        <v>0</v>
      </c>
      <c r="E26" s="11" t="s">
        <v>4</v>
      </c>
      <c r="F26" s="11" t="s">
        <v>4</v>
      </c>
      <c r="G26" s="11" t="s">
        <v>4</v>
      </c>
      <c r="H26" s="59" t="str">
        <f>G26</f>
        <v>KYOTO</v>
      </c>
      <c r="I26" s="25" t="s">
        <v>112</v>
      </c>
      <c r="J26" s="60" t="s">
        <v>68</v>
      </c>
      <c r="K26" s="48" t="s">
        <v>113</v>
      </c>
      <c r="L26" s="55">
        <v>46294</v>
      </c>
      <c r="M26" s="56">
        <v>25</v>
      </c>
      <c r="N26" s="25" t="s">
        <v>75</v>
      </c>
    </row>
    <row r="27" spans="1:14" ht="15.6" x14ac:dyDescent="0.3">
      <c r="A27" s="41"/>
      <c r="B27" s="39"/>
      <c r="C27" s="85"/>
      <c r="D27" s="41"/>
      <c r="E27" s="9"/>
      <c r="F27" s="9"/>
      <c r="G27" s="19" t="s">
        <v>53</v>
      </c>
      <c r="H27" s="53"/>
      <c r="I27" s="20"/>
      <c r="J27" s="53"/>
      <c r="K27" s="38"/>
      <c r="L27" s="41"/>
      <c r="M27" s="41"/>
      <c r="N27" s="20"/>
    </row>
    <row r="28" spans="1:14" ht="18" x14ac:dyDescent="0.35">
      <c r="A28" s="62">
        <v>0</v>
      </c>
      <c r="B28" s="42" t="s">
        <v>59</v>
      </c>
      <c r="C28" s="86">
        <v>46296</v>
      </c>
      <c r="D28" s="62">
        <v>0</v>
      </c>
      <c r="E28" s="11" t="s">
        <v>4</v>
      </c>
      <c r="F28" s="11" t="s">
        <v>77</v>
      </c>
      <c r="G28" s="11" t="s">
        <v>5</v>
      </c>
      <c r="H28" s="59" t="str">
        <f>G28</f>
        <v>OTSU</v>
      </c>
      <c r="I28" s="17" t="s">
        <v>78</v>
      </c>
      <c r="J28" s="54" t="s">
        <v>79</v>
      </c>
      <c r="K28" s="49" t="s">
        <v>41</v>
      </c>
      <c r="L28" s="55">
        <v>46293</v>
      </c>
      <c r="M28" s="56">
        <v>41</v>
      </c>
      <c r="N28" s="17" t="s">
        <v>80</v>
      </c>
    </row>
    <row r="29" spans="1:14" ht="15.6" x14ac:dyDescent="0.3">
      <c r="A29" s="41"/>
      <c r="B29" s="39"/>
      <c r="C29" s="85"/>
      <c r="D29" s="41"/>
      <c r="E29" s="9" t="s">
        <v>121</v>
      </c>
      <c r="F29" s="9" t="s">
        <v>121</v>
      </c>
      <c r="G29" s="24" t="s">
        <v>74</v>
      </c>
      <c r="H29" s="53"/>
      <c r="I29" s="20"/>
      <c r="J29" s="53"/>
      <c r="K29" s="38"/>
      <c r="L29" s="41"/>
      <c r="M29" s="41"/>
      <c r="N29" s="20"/>
    </row>
    <row r="30" spans="1:14" ht="18" x14ac:dyDescent="0.35">
      <c r="A30" s="62">
        <v>0</v>
      </c>
      <c r="B30" s="42" t="s">
        <v>22</v>
      </c>
      <c r="C30" s="86">
        <v>46297</v>
      </c>
      <c r="D30" s="62">
        <v>0</v>
      </c>
      <c r="E30" s="11" t="s">
        <v>81</v>
      </c>
      <c r="F30" s="11" t="s">
        <v>82</v>
      </c>
      <c r="G30" s="11" t="s">
        <v>6</v>
      </c>
      <c r="H30" s="59" t="str">
        <f>G30</f>
        <v>HIKONE</v>
      </c>
      <c r="I30" s="17" t="s">
        <v>129</v>
      </c>
      <c r="J30" s="60" t="s">
        <v>84</v>
      </c>
      <c r="K30" s="45" t="s">
        <v>131</v>
      </c>
      <c r="L30" s="55">
        <v>46293</v>
      </c>
      <c r="M30" s="56">
        <v>41</v>
      </c>
      <c r="N30" s="17" t="s">
        <v>69</v>
      </c>
    </row>
    <row r="31" spans="1:14" ht="15.6" x14ac:dyDescent="0.3">
      <c r="A31" s="41"/>
      <c r="B31" s="39"/>
      <c r="C31" s="85"/>
      <c r="D31" s="41"/>
      <c r="E31" s="9"/>
      <c r="F31" s="9"/>
      <c r="G31" s="19" t="s">
        <v>53</v>
      </c>
      <c r="H31" s="53"/>
      <c r="I31" s="20"/>
      <c r="J31" s="53"/>
      <c r="K31" s="38"/>
      <c r="L31" s="41"/>
      <c r="M31" s="41"/>
      <c r="N31" s="20"/>
    </row>
    <row r="32" spans="1:14" ht="18" x14ac:dyDescent="0.35">
      <c r="A32" s="57"/>
      <c r="B32" s="58" t="s">
        <v>31</v>
      </c>
      <c r="C32" s="86">
        <v>46298</v>
      </c>
      <c r="D32" s="57"/>
      <c r="E32" s="11" t="s">
        <v>85</v>
      </c>
      <c r="F32" s="11" t="s">
        <v>86</v>
      </c>
      <c r="G32" s="11" t="s">
        <v>3</v>
      </c>
      <c r="H32" s="59" t="str">
        <f>G32</f>
        <v>OSAKA</v>
      </c>
      <c r="I32" s="17" t="s">
        <v>134</v>
      </c>
      <c r="J32" s="64" t="s">
        <v>87</v>
      </c>
      <c r="K32" s="45" t="s">
        <v>136</v>
      </c>
      <c r="L32" s="55">
        <v>46296</v>
      </c>
      <c r="M32" s="56">
        <v>41</v>
      </c>
      <c r="N32" s="17" t="s">
        <v>69</v>
      </c>
    </row>
    <row r="33" spans="1:14" ht="13.2" x14ac:dyDescent="0.25">
      <c r="A33" s="41"/>
      <c r="B33" s="39"/>
      <c r="C33" s="85"/>
      <c r="D33" s="41"/>
      <c r="E33" s="14"/>
      <c r="F33" s="14"/>
      <c r="G33" s="14"/>
      <c r="H33" s="53"/>
      <c r="I33" s="20"/>
      <c r="J33" s="53"/>
      <c r="K33" s="38"/>
      <c r="L33" s="41"/>
      <c r="M33" s="41"/>
      <c r="N33" s="20"/>
    </row>
    <row r="34" spans="1:14" ht="18" x14ac:dyDescent="0.35">
      <c r="A34" s="57"/>
      <c r="B34" s="58" t="s">
        <v>45</v>
      </c>
      <c r="C34" s="86">
        <v>46299</v>
      </c>
      <c r="D34" s="57"/>
      <c r="E34" s="11" t="s">
        <v>3</v>
      </c>
      <c r="F34" s="26" t="s">
        <v>88</v>
      </c>
      <c r="G34" s="11" t="s">
        <v>3</v>
      </c>
      <c r="H34" s="59" t="str">
        <f>G34</f>
        <v>OSAKA</v>
      </c>
      <c r="I34" s="17" t="s">
        <v>90</v>
      </c>
      <c r="J34" s="64" t="s">
        <v>87</v>
      </c>
      <c r="K34" s="45" t="s">
        <v>143</v>
      </c>
      <c r="L34" s="55">
        <v>46296</v>
      </c>
      <c r="M34" s="56">
        <v>41</v>
      </c>
      <c r="N34" s="27" t="s">
        <v>91</v>
      </c>
    </row>
    <row r="35" spans="1:14" ht="13.2" x14ac:dyDescent="0.25">
      <c r="A35" s="41"/>
      <c r="B35" s="39"/>
      <c r="C35" s="85"/>
      <c r="D35" s="41"/>
      <c r="E35" s="14"/>
      <c r="F35" s="14" t="s">
        <v>92</v>
      </c>
      <c r="G35" s="14"/>
      <c r="H35" s="53"/>
      <c r="I35" s="20"/>
      <c r="J35" s="53"/>
      <c r="K35" s="38"/>
      <c r="L35" s="41"/>
      <c r="M35" s="41"/>
      <c r="N35" s="20"/>
    </row>
    <row r="36" spans="1:14" ht="18" x14ac:dyDescent="0.35">
      <c r="A36" s="61">
        <v>0</v>
      </c>
      <c r="B36" s="42" t="s">
        <v>50</v>
      </c>
      <c r="C36" s="86">
        <v>46300</v>
      </c>
      <c r="D36" s="61">
        <v>0</v>
      </c>
      <c r="E36" s="11" t="s">
        <v>3</v>
      </c>
      <c r="F36" s="11" t="s">
        <v>3</v>
      </c>
      <c r="G36" s="11" t="s">
        <v>7</v>
      </c>
      <c r="H36" s="59" t="str">
        <f>G36</f>
        <v>FUKUYAMA</v>
      </c>
      <c r="I36" s="17" t="s">
        <v>93</v>
      </c>
      <c r="J36" s="60" t="s">
        <v>94</v>
      </c>
      <c r="K36" s="45" t="s">
        <v>145</v>
      </c>
      <c r="L36" s="55">
        <v>46298</v>
      </c>
      <c r="M36" s="56">
        <v>36</v>
      </c>
      <c r="N36" s="17" t="s">
        <v>69</v>
      </c>
    </row>
    <row r="37" spans="1:14" ht="15.6" x14ac:dyDescent="0.3">
      <c r="A37" s="41"/>
      <c r="B37" s="39"/>
      <c r="C37" s="85"/>
      <c r="D37" s="41"/>
      <c r="E37" s="9"/>
      <c r="F37" s="9"/>
      <c r="G37" s="19" t="s">
        <v>53</v>
      </c>
      <c r="H37" s="53"/>
      <c r="I37" s="20"/>
      <c r="J37" s="53"/>
      <c r="K37" s="38"/>
      <c r="L37" s="41"/>
      <c r="M37" s="41"/>
      <c r="N37" s="20"/>
    </row>
    <row r="38" spans="1:14" ht="18" x14ac:dyDescent="0.35">
      <c r="A38" s="40">
        <v>1</v>
      </c>
      <c r="B38" s="42" t="s">
        <v>54</v>
      </c>
      <c r="C38" s="86">
        <v>46301</v>
      </c>
      <c r="D38" s="40">
        <v>1</v>
      </c>
      <c r="E38" s="11" t="s">
        <v>95</v>
      </c>
      <c r="F38" s="11" t="s">
        <v>96</v>
      </c>
      <c r="G38" s="11" t="s">
        <v>96</v>
      </c>
      <c r="H38" s="59" t="str">
        <f>G38</f>
        <v>OMISHIMA</v>
      </c>
      <c r="I38" s="17" t="s">
        <v>147</v>
      </c>
      <c r="J38" s="65" t="s">
        <v>98</v>
      </c>
      <c r="K38" s="45" t="s">
        <v>149</v>
      </c>
      <c r="L38" s="55">
        <v>46299</v>
      </c>
      <c r="M38" s="56">
        <v>25</v>
      </c>
      <c r="N38" s="17" t="s">
        <v>69</v>
      </c>
    </row>
    <row r="39" spans="1:14" ht="15.6" x14ac:dyDescent="0.3">
      <c r="A39" s="41"/>
      <c r="B39" s="39"/>
      <c r="C39" s="85"/>
      <c r="D39" s="41"/>
      <c r="E39" s="9" t="s">
        <v>99</v>
      </c>
      <c r="F39" s="9" t="s">
        <v>100</v>
      </c>
      <c r="G39" s="22"/>
      <c r="H39" s="53"/>
      <c r="I39" s="20"/>
      <c r="J39" s="53"/>
      <c r="K39" s="38"/>
      <c r="L39" s="41"/>
      <c r="M39" s="41"/>
      <c r="N39" s="20"/>
    </row>
    <row r="40" spans="1:14" ht="18" x14ac:dyDescent="0.35">
      <c r="A40" s="40">
        <v>1</v>
      </c>
      <c r="B40" s="42" t="s">
        <v>55</v>
      </c>
      <c r="C40" s="86">
        <v>46302</v>
      </c>
      <c r="D40" s="40">
        <v>1</v>
      </c>
      <c r="E40" s="11"/>
      <c r="F40" s="11" t="s">
        <v>101</v>
      </c>
      <c r="G40" s="11" t="s">
        <v>9</v>
      </c>
      <c r="H40" s="59" t="str">
        <f>G40</f>
        <v>MASTUYAMA</v>
      </c>
      <c r="I40" s="17" t="s">
        <v>102</v>
      </c>
      <c r="J40" s="60" t="s">
        <v>103</v>
      </c>
      <c r="K40" s="46" t="s">
        <v>35</v>
      </c>
      <c r="L40" s="55">
        <v>46302</v>
      </c>
      <c r="M40" s="76">
        <v>27</v>
      </c>
      <c r="N40" s="17" t="s">
        <v>69</v>
      </c>
    </row>
    <row r="41" spans="1:14" ht="15.6" x14ac:dyDescent="0.3">
      <c r="A41" s="41"/>
      <c r="B41" s="39"/>
      <c r="C41" s="85"/>
      <c r="D41" s="41"/>
      <c r="E41" s="9" t="s">
        <v>104</v>
      </c>
      <c r="F41" s="9"/>
      <c r="G41" s="22"/>
      <c r="H41" s="53"/>
      <c r="I41" s="20"/>
      <c r="J41" s="53"/>
      <c r="K41" s="47"/>
      <c r="L41" s="41"/>
      <c r="M41" s="41"/>
      <c r="N41" s="20"/>
    </row>
    <row r="42" spans="1:14" ht="18" x14ac:dyDescent="0.35">
      <c r="A42" s="40">
        <v>1</v>
      </c>
      <c r="B42" s="42" t="s">
        <v>59</v>
      </c>
      <c r="C42" s="86">
        <v>46303</v>
      </c>
      <c r="D42" s="40">
        <v>1</v>
      </c>
      <c r="E42" s="11" t="s">
        <v>9</v>
      </c>
      <c r="F42" s="11" t="s">
        <v>106</v>
      </c>
      <c r="G42" s="11" t="s">
        <v>13</v>
      </c>
      <c r="H42" s="59" t="str">
        <f>G42</f>
        <v>BEPPU</v>
      </c>
      <c r="I42" s="17" t="s">
        <v>108</v>
      </c>
      <c r="J42" s="54" t="s">
        <v>109</v>
      </c>
      <c r="K42" s="45" t="s">
        <v>158</v>
      </c>
      <c r="L42" s="77" t="s">
        <v>110</v>
      </c>
      <c r="M42" s="56">
        <v>34</v>
      </c>
      <c r="N42" s="17"/>
    </row>
    <row r="43" spans="1:14" ht="15.6" x14ac:dyDescent="0.3">
      <c r="A43" s="41"/>
      <c r="B43" s="39"/>
      <c r="C43" s="85"/>
      <c r="D43" s="41"/>
      <c r="E43" s="9"/>
      <c r="F43" s="9"/>
      <c r="G43" s="22"/>
      <c r="H43" s="53"/>
      <c r="I43" s="20"/>
      <c r="J43" s="53"/>
      <c r="K43" s="38"/>
      <c r="L43" s="41"/>
      <c r="M43" s="41"/>
      <c r="N43" s="20"/>
    </row>
    <row r="44" spans="1:14" ht="18" x14ac:dyDescent="0.35">
      <c r="A44" s="40">
        <v>1</v>
      </c>
      <c r="B44" s="42" t="s">
        <v>22</v>
      </c>
      <c r="C44" s="86">
        <v>46304</v>
      </c>
      <c r="D44" s="40">
        <v>1</v>
      </c>
      <c r="E44" s="11" t="s">
        <v>13</v>
      </c>
      <c r="F44" s="11" t="s">
        <v>13</v>
      </c>
      <c r="G44" s="11" t="s">
        <v>13</v>
      </c>
      <c r="H44" s="59" t="str">
        <f>G44</f>
        <v>BEPPU</v>
      </c>
      <c r="I44" s="17" t="s">
        <v>111</v>
      </c>
      <c r="J44" s="54" t="s">
        <v>109</v>
      </c>
      <c r="K44" s="45" t="s">
        <v>162</v>
      </c>
      <c r="L44" s="77" t="s">
        <v>110</v>
      </c>
      <c r="M44" s="56">
        <v>34</v>
      </c>
      <c r="N44" s="17"/>
    </row>
    <row r="45" spans="1:14" ht="15.6" x14ac:dyDescent="0.3">
      <c r="A45" s="41"/>
      <c r="B45" s="39"/>
      <c r="C45" s="85"/>
      <c r="D45" s="41"/>
      <c r="E45" s="28"/>
      <c r="F45" s="9"/>
      <c r="G45" s="22"/>
      <c r="H45" s="53"/>
      <c r="I45" s="20"/>
      <c r="J45" s="53"/>
      <c r="K45" s="38"/>
      <c r="L45" s="41"/>
      <c r="M45" s="41"/>
      <c r="N45" s="20"/>
    </row>
    <row r="46" spans="1:14" ht="18" x14ac:dyDescent="0.35">
      <c r="A46" s="57"/>
      <c r="B46" s="58" t="s">
        <v>31</v>
      </c>
      <c r="C46" s="86">
        <v>46305</v>
      </c>
      <c r="D46" s="57"/>
      <c r="E46" s="11" t="s">
        <v>13</v>
      </c>
      <c r="F46" s="11" t="s">
        <v>15</v>
      </c>
      <c r="G46" s="11" t="s">
        <v>15</v>
      </c>
      <c r="H46" s="59" t="str">
        <f>G46</f>
        <v>YUFUIN</v>
      </c>
      <c r="I46" s="17" t="s">
        <v>114</v>
      </c>
      <c r="J46" s="60" t="s">
        <v>115</v>
      </c>
      <c r="K46" s="45" t="s">
        <v>167</v>
      </c>
      <c r="L46" s="77" t="s">
        <v>116</v>
      </c>
      <c r="M46" s="56">
        <v>55</v>
      </c>
      <c r="N46" s="17" t="s">
        <v>117</v>
      </c>
    </row>
    <row r="47" spans="1:14" ht="13.2" x14ac:dyDescent="0.25">
      <c r="A47" s="41"/>
      <c r="B47" s="39"/>
      <c r="C47" s="85"/>
      <c r="D47" s="41"/>
      <c r="E47" s="14"/>
      <c r="F47" s="14"/>
      <c r="G47" s="14"/>
      <c r="H47" s="53"/>
      <c r="I47" s="20"/>
      <c r="J47" s="53"/>
      <c r="K47" s="38"/>
      <c r="L47" s="41"/>
      <c r="M47" s="41"/>
      <c r="N47" s="20" t="s">
        <v>118</v>
      </c>
    </row>
    <row r="48" spans="1:14" ht="18" x14ac:dyDescent="0.35">
      <c r="A48" s="57"/>
      <c r="B48" s="58" t="s">
        <v>45</v>
      </c>
      <c r="C48" s="86">
        <v>46306</v>
      </c>
      <c r="D48" s="57"/>
      <c r="E48" s="11" t="s">
        <v>15</v>
      </c>
      <c r="F48" s="11" t="s">
        <v>16</v>
      </c>
      <c r="G48" s="11" t="s">
        <v>16</v>
      </c>
      <c r="H48" s="59" t="str">
        <f>G48</f>
        <v>KUMAMOTO</v>
      </c>
      <c r="I48" s="17" t="s">
        <v>119</v>
      </c>
      <c r="J48" s="54" t="s">
        <v>120</v>
      </c>
      <c r="K48" s="45" t="s">
        <v>170</v>
      </c>
      <c r="L48" s="55">
        <v>46304</v>
      </c>
      <c r="M48" s="56">
        <v>32</v>
      </c>
      <c r="N48" s="17" t="s">
        <v>69</v>
      </c>
    </row>
    <row r="49" spans="1:14" ht="15.6" x14ac:dyDescent="0.3">
      <c r="A49" s="41"/>
      <c r="B49" s="39"/>
      <c r="C49" s="85"/>
      <c r="D49" s="41"/>
      <c r="E49" s="14"/>
      <c r="F49" s="9"/>
      <c r="G49" s="22"/>
      <c r="H49" s="53"/>
      <c r="I49" s="20"/>
      <c r="J49" s="53"/>
      <c r="K49" s="38"/>
      <c r="L49" s="41"/>
      <c r="M49" s="41"/>
      <c r="N49" s="20"/>
    </row>
    <row r="50" spans="1:14" ht="18" x14ac:dyDescent="0.35">
      <c r="A50" s="40">
        <v>1</v>
      </c>
      <c r="B50" s="42" t="s">
        <v>50</v>
      </c>
      <c r="C50" s="84">
        <v>46307</v>
      </c>
      <c r="D50" s="40">
        <v>1</v>
      </c>
      <c r="E50" s="11" t="s">
        <v>16</v>
      </c>
      <c r="F50" s="11"/>
      <c r="G50" s="11" t="s">
        <v>18</v>
      </c>
      <c r="H50" s="59" t="str">
        <f>G50</f>
        <v>MINAMIASO</v>
      </c>
      <c r="I50" s="25" t="s">
        <v>122</v>
      </c>
      <c r="J50" s="60" t="s">
        <v>123</v>
      </c>
      <c r="K50" s="51" t="s">
        <v>42</v>
      </c>
      <c r="L50" s="55">
        <v>46302</v>
      </c>
      <c r="M50" s="56">
        <v>52</v>
      </c>
      <c r="N50" s="25" t="s">
        <v>124</v>
      </c>
    </row>
    <row r="51" spans="1:14" ht="15.6" x14ac:dyDescent="0.3">
      <c r="A51" s="41"/>
      <c r="B51" s="39"/>
      <c r="C51" s="85"/>
      <c r="D51" s="41"/>
      <c r="E51" s="29" t="s">
        <v>125</v>
      </c>
      <c r="F51" s="9" t="s">
        <v>126</v>
      </c>
      <c r="G51" s="22"/>
      <c r="H51" s="53"/>
      <c r="I51" s="30"/>
      <c r="J51" s="53"/>
      <c r="K51" s="38"/>
      <c r="L51" s="41"/>
      <c r="M51" s="41"/>
      <c r="N51" s="30" t="s">
        <v>127</v>
      </c>
    </row>
    <row r="52" spans="1:14" ht="18" x14ac:dyDescent="0.35">
      <c r="A52" s="40">
        <v>1</v>
      </c>
      <c r="B52" s="42" t="s">
        <v>54</v>
      </c>
      <c r="C52" s="84">
        <v>46308</v>
      </c>
      <c r="D52" s="40">
        <v>1</v>
      </c>
      <c r="E52" s="11"/>
      <c r="F52" s="11"/>
      <c r="G52" s="11" t="s">
        <v>20</v>
      </c>
      <c r="H52" s="59" t="str">
        <f>G52</f>
        <v>KUROKAWA ONSEN</v>
      </c>
      <c r="I52" s="17"/>
      <c r="J52" s="65" t="s">
        <v>128</v>
      </c>
      <c r="K52" s="46" t="s">
        <v>35</v>
      </c>
      <c r="L52" s="55">
        <v>46293</v>
      </c>
      <c r="M52" s="76">
        <v>52</v>
      </c>
      <c r="N52" s="17"/>
    </row>
    <row r="53" spans="1:14" ht="15.6" x14ac:dyDescent="0.3">
      <c r="A53" s="41"/>
      <c r="B53" s="39"/>
      <c r="C53" s="85"/>
      <c r="D53" s="41"/>
      <c r="E53" s="9" t="s">
        <v>130</v>
      </c>
      <c r="F53" s="9"/>
      <c r="G53" s="22"/>
      <c r="H53" s="53"/>
      <c r="I53" s="20"/>
      <c r="J53" s="53"/>
      <c r="K53" s="47"/>
      <c r="L53" s="41"/>
      <c r="M53" s="41"/>
      <c r="N53" s="20"/>
    </row>
    <row r="54" spans="1:14" ht="18" x14ac:dyDescent="0.35">
      <c r="A54" s="40">
        <v>1</v>
      </c>
      <c r="B54" s="42" t="s">
        <v>55</v>
      </c>
      <c r="C54" s="84">
        <v>46309</v>
      </c>
      <c r="D54" s="40">
        <v>1</v>
      </c>
      <c r="E54" s="11" t="s">
        <v>20</v>
      </c>
      <c r="F54" s="11"/>
      <c r="G54" s="11" t="s">
        <v>21</v>
      </c>
      <c r="H54" s="59" t="str">
        <f>G54</f>
        <v>TAKACHIHO</v>
      </c>
      <c r="I54" s="25"/>
      <c r="J54" s="60" t="s">
        <v>132</v>
      </c>
      <c r="K54" s="49" t="s">
        <v>41</v>
      </c>
      <c r="L54" s="55">
        <v>46307</v>
      </c>
      <c r="M54" s="56">
        <v>56</v>
      </c>
      <c r="N54" s="25" t="s">
        <v>133</v>
      </c>
    </row>
    <row r="55" spans="1:14" ht="15.6" x14ac:dyDescent="0.3">
      <c r="A55" s="41"/>
      <c r="B55" s="39"/>
      <c r="C55" s="85"/>
      <c r="D55" s="41"/>
      <c r="E55" s="9" t="s">
        <v>130</v>
      </c>
      <c r="F55" s="9"/>
      <c r="G55" s="22"/>
      <c r="H55" s="53"/>
      <c r="I55" s="20"/>
      <c r="J55" s="53"/>
      <c r="K55" s="38"/>
      <c r="L55" s="41"/>
      <c r="M55" s="41"/>
      <c r="N55" s="20"/>
    </row>
    <row r="56" spans="1:14" ht="18" x14ac:dyDescent="0.35">
      <c r="A56" s="40">
        <v>1</v>
      </c>
      <c r="B56" s="42" t="s">
        <v>59</v>
      </c>
      <c r="C56" s="84">
        <v>46310</v>
      </c>
      <c r="D56" s="40">
        <v>1</v>
      </c>
      <c r="E56" s="11" t="s">
        <v>21</v>
      </c>
      <c r="F56" s="11"/>
      <c r="G56" s="11" t="s">
        <v>16</v>
      </c>
      <c r="H56" s="59" t="str">
        <f>G56</f>
        <v>KUMAMOTO</v>
      </c>
      <c r="I56" s="17"/>
      <c r="J56" s="54" t="s">
        <v>120</v>
      </c>
      <c r="K56" s="45" t="s">
        <v>179</v>
      </c>
      <c r="L56" s="55">
        <v>46308</v>
      </c>
      <c r="M56" s="56">
        <v>22</v>
      </c>
      <c r="N56" s="17" t="s">
        <v>69</v>
      </c>
    </row>
    <row r="57" spans="1:14" ht="15.6" x14ac:dyDescent="0.3">
      <c r="A57" s="41"/>
      <c r="B57" s="39"/>
      <c r="C57" s="85"/>
      <c r="D57" s="41"/>
      <c r="E57" s="9" t="s">
        <v>130</v>
      </c>
      <c r="F57" s="9"/>
      <c r="G57" s="29" t="s">
        <v>135</v>
      </c>
      <c r="H57" s="53"/>
      <c r="I57" s="20"/>
      <c r="J57" s="53"/>
      <c r="K57" s="38"/>
      <c r="L57" s="41"/>
      <c r="M57" s="41"/>
      <c r="N57" s="20"/>
    </row>
    <row r="58" spans="1:14" ht="18" x14ac:dyDescent="0.35">
      <c r="A58" s="40">
        <v>1</v>
      </c>
      <c r="B58" s="42" t="s">
        <v>22</v>
      </c>
      <c r="C58" s="86">
        <v>46311</v>
      </c>
      <c r="D58" s="40">
        <v>1</v>
      </c>
      <c r="E58" s="11"/>
      <c r="F58" s="11"/>
      <c r="G58" s="11" t="s">
        <v>23</v>
      </c>
      <c r="H58" s="59" t="str">
        <f>G58</f>
        <v>UNZEN</v>
      </c>
      <c r="I58" s="17"/>
      <c r="J58" s="60" t="s">
        <v>137</v>
      </c>
      <c r="K58" s="66" t="s">
        <v>138</v>
      </c>
      <c r="L58" s="55">
        <v>46303</v>
      </c>
      <c r="M58" s="56">
        <v>63</v>
      </c>
      <c r="N58" s="17" t="s">
        <v>69</v>
      </c>
    </row>
    <row r="59" spans="1:14" ht="15.6" x14ac:dyDescent="0.3">
      <c r="A59" s="41"/>
      <c r="B59" s="39"/>
      <c r="C59" s="85"/>
      <c r="D59" s="41"/>
      <c r="E59" s="9" t="s">
        <v>139</v>
      </c>
      <c r="F59" s="9"/>
      <c r="G59" s="31" t="s">
        <v>140</v>
      </c>
      <c r="H59" s="53"/>
      <c r="I59" s="18"/>
      <c r="J59" s="53"/>
      <c r="K59" s="38"/>
      <c r="L59" s="41"/>
      <c r="M59" s="41"/>
      <c r="N59" s="18" t="s">
        <v>141</v>
      </c>
    </row>
    <row r="60" spans="1:14" ht="18" x14ac:dyDescent="0.35">
      <c r="A60" s="57"/>
      <c r="B60" s="58" t="s">
        <v>31</v>
      </c>
      <c r="C60" s="86">
        <v>46312</v>
      </c>
      <c r="D60" s="57"/>
      <c r="E60" s="11" t="s">
        <v>23</v>
      </c>
      <c r="F60" s="11"/>
      <c r="G60" s="11" t="s">
        <v>24</v>
      </c>
      <c r="H60" s="59" t="str">
        <f>G60</f>
        <v>OBAMA ONSEN</v>
      </c>
      <c r="I60" s="17"/>
      <c r="J60" s="65" t="s">
        <v>142</v>
      </c>
      <c r="K60" s="45" t="s">
        <v>183</v>
      </c>
      <c r="L60" s="55">
        <v>46310</v>
      </c>
      <c r="M60" s="56">
        <v>50</v>
      </c>
      <c r="N60" s="17" t="s">
        <v>69</v>
      </c>
    </row>
    <row r="61" spans="1:14" ht="13.2" x14ac:dyDescent="0.25">
      <c r="A61" s="41"/>
      <c r="B61" s="39"/>
      <c r="C61" s="85"/>
      <c r="D61" s="41"/>
      <c r="E61" s="14"/>
      <c r="F61" s="14"/>
      <c r="G61" s="14"/>
      <c r="H61" s="53"/>
      <c r="I61" s="20"/>
      <c r="J61" s="53"/>
      <c r="K61" s="38"/>
      <c r="L61" s="41"/>
      <c r="M61" s="41"/>
      <c r="N61" s="20"/>
    </row>
    <row r="62" spans="1:14" ht="18" x14ac:dyDescent="0.35">
      <c r="A62" s="57"/>
      <c r="B62" s="58" t="s">
        <v>45</v>
      </c>
      <c r="C62" s="86">
        <v>46313</v>
      </c>
      <c r="D62" s="57"/>
      <c r="E62" s="11"/>
      <c r="F62" s="11"/>
      <c r="G62" s="11" t="s">
        <v>26</v>
      </c>
      <c r="H62" s="59" t="str">
        <f>G62</f>
        <v>NAGASAKI</v>
      </c>
      <c r="I62" s="17"/>
      <c r="J62" s="60" t="s">
        <v>144</v>
      </c>
      <c r="K62" s="46" t="s">
        <v>35</v>
      </c>
      <c r="L62" s="55">
        <v>46311</v>
      </c>
      <c r="M62" s="56">
        <v>34</v>
      </c>
      <c r="N62" s="17" t="s">
        <v>69</v>
      </c>
    </row>
    <row r="63" spans="1:14" ht="13.2" x14ac:dyDescent="0.25">
      <c r="A63" s="41"/>
      <c r="B63" s="39"/>
      <c r="C63" s="85"/>
      <c r="D63" s="41"/>
      <c r="E63" s="14"/>
      <c r="F63" s="14"/>
      <c r="G63" s="14"/>
      <c r="H63" s="53"/>
      <c r="I63" s="20"/>
      <c r="J63" s="53"/>
      <c r="K63" s="47"/>
      <c r="L63" s="41"/>
      <c r="M63" s="41"/>
      <c r="N63" s="20"/>
    </row>
    <row r="64" spans="1:14" ht="18" x14ac:dyDescent="0.35">
      <c r="A64" s="40">
        <v>1</v>
      </c>
      <c r="B64" s="42" t="s">
        <v>50</v>
      </c>
      <c r="C64" s="86">
        <v>46314</v>
      </c>
      <c r="D64" s="40">
        <v>1</v>
      </c>
      <c r="E64" s="11" t="s">
        <v>26</v>
      </c>
      <c r="F64" s="11" t="s">
        <v>26</v>
      </c>
      <c r="G64" s="11" t="s">
        <v>26</v>
      </c>
      <c r="H64" s="59" t="str">
        <f>G64</f>
        <v>NAGASAKI</v>
      </c>
      <c r="I64" s="17"/>
      <c r="J64" s="60" t="s">
        <v>144</v>
      </c>
      <c r="K64" s="46" t="s">
        <v>35</v>
      </c>
      <c r="L64" s="55">
        <v>46311</v>
      </c>
      <c r="M64" s="56">
        <v>34</v>
      </c>
      <c r="N64" s="17" t="s">
        <v>69</v>
      </c>
    </row>
    <row r="65" spans="1:14" ht="15.6" x14ac:dyDescent="0.3">
      <c r="A65" s="41"/>
      <c r="B65" s="39"/>
      <c r="C65" s="85"/>
      <c r="D65" s="41"/>
      <c r="E65" s="9"/>
      <c r="F65" s="9"/>
      <c r="G65" s="22"/>
      <c r="H65" s="53"/>
      <c r="I65" s="20"/>
      <c r="J65" s="53"/>
      <c r="K65" s="47"/>
      <c r="L65" s="41"/>
      <c r="M65" s="41"/>
      <c r="N65" s="20"/>
    </row>
    <row r="66" spans="1:14" ht="18" x14ac:dyDescent="0.35">
      <c r="A66" s="40">
        <v>1</v>
      </c>
      <c r="B66" s="42" t="s">
        <v>54</v>
      </c>
      <c r="C66" s="86">
        <v>46315</v>
      </c>
      <c r="D66" s="40">
        <v>1</v>
      </c>
      <c r="E66" s="11" t="s">
        <v>26</v>
      </c>
      <c r="F66" s="11" t="s">
        <v>28</v>
      </c>
      <c r="G66" s="11" t="s">
        <v>28</v>
      </c>
      <c r="H66" s="59" t="str">
        <f>G66</f>
        <v>URESHINO</v>
      </c>
      <c r="I66" s="17"/>
      <c r="J66" s="65" t="s">
        <v>146</v>
      </c>
      <c r="K66" s="45" t="s">
        <v>190</v>
      </c>
      <c r="L66" s="55">
        <v>46307</v>
      </c>
      <c r="M66" s="56">
        <v>37</v>
      </c>
      <c r="N66" s="17" t="s">
        <v>69</v>
      </c>
    </row>
    <row r="67" spans="1:14" ht="15.6" x14ac:dyDescent="0.3">
      <c r="A67" s="41"/>
      <c r="B67" s="39"/>
      <c r="C67" s="85"/>
      <c r="D67" s="41"/>
      <c r="E67" s="9"/>
      <c r="F67" s="9"/>
      <c r="G67" s="22"/>
      <c r="H67" s="53"/>
      <c r="I67" s="20"/>
      <c r="J67" s="53"/>
      <c r="K67" s="38"/>
      <c r="L67" s="41"/>
      <c r="M67" s="41"/>
      <c r="N67" s="20"/>
    </row>
    <row r="68" spans="1:14" ht="18" x14ac:dyDescent="0.35">
      <c r="A68" s="40">
        <v>1</v>
      </c>
      <c r="B68" s="42" t="s">
        <v>55</v>
      </c>
      <c r="C68" s="86">
        <v>46316</v>
      </c>
      <c r="D68" s="40">
        <v>1</v>
      </c>
      <c r="E68" s="11" t="s">
        <v>28</v>
      </c>
      <c r="F68" s="11" t="s">
        <v>148</v>
      </c>
      <c r="G68" s="11" t="s">
        <v>29</v>
      </c>
      <c r="H68" s="59" t="str">
        <f>G68</f>
        <v>FUKUOKA</v>
      </c>
      <c r="I68" s="17"/>
      <c r="J68" s="60" t="s">
        <v>150</v>
      </c>
      <c r="K68" s="66" t="s">
        <v>138</v>
      </c>
      <c r="L68" s="55">
        <v>46313</v>
      </c>
      <c r="M68" s="56">
        <v>57</v>
      </c>
      <c r="N68" s="17" t="s">
        <v>69</v>
      </c>
    </row>
    <row r="69" spans="1:14" ht="15.6" x14ac:dyDescent="0.3">
      <c r="A69" s="41"/>
      <c r="B69" s="39"/>
      <c r="C69" s="85"/>
      <c r="D69" s="41"/>
      <c r="E69" s="9"/>
      <c r="F69" s="9"/>
      <c r="G69" s="22"/>
      <c r="H69" s="53"/>
      <c r="I69" s="20"/>
      <c r="J69" s="53"/>
      <c r="K69" s="38"/>
      <c r="L69" s="41"/>
      <c r="M69" s="41"/>
      <c r="N69" s="20"/>
    </row>
    <row r="70" spans="1:14" ht="18" x14ac:dyDescent="0.35">
      <c r="A70" s="40">
        <v>1</v>
      </c>
      <c r="B70" s="42" t="s">
        <v>59</v>
      </c>
      <c r="C70" s="86">
        <v>46317</v>
      </c>
      <c r="D70" s="40">
        <v>1</v>
      </c>
      <c r="E70" s="11" t="s">
        <v>29</v>
      </c>
      <c r="F70" s="11" t="s">
        <v>29</v>
      </c>
      <c r="G70" s="11" t="s">
        <v>29</v>
      </c>
      <c r="H70" s="59" t="str">
        <f>G70</f>
        <v>FUKUOKA</v>
      </c>
      <c r="I70" s="17"/>
      <c r="J70" s="60" t="s">
        <v>150</v>
      </c>
      <c r="K70" s="66" t="s">
        <v>138</v>
      </c>
      <c r="L70" s="55">
        <v>46313</v>
      </c>
      <c r="M70" s="56">
        <v>57</v>
      </c>
      <c r="N70" s="17" t="s">
        <v>69</v>
      </c>
    </row>
    <row r="71" spans="1:14" ht="15.6" x14ac:dyDescent="0.3">
      <c r="A71" s="41"/>
      <c r="B71" s="39"/>
      <c r="C71" s="85"/>
      <c r="D71" s="41"/>
      <c r="E71" s="9"/>
      <c r="F71" s="9" t="s">
        <v>151</v>
      </c>
      <c r="G71" s="22"/>
      <c r="H71" s="53"/>
      <c r="I71" s="20"/>
      <c r="J71" s="53"/>
      <c r="K71" s="38"/>
      <c r="L71" s="41"/>
      <c r="M71" s="41"/>
      <c r="N71" s="20"/>
    </row>
    <row r="72" spans="1:14" ht="18" x14ac:dyDescent="0.35">
      <c r="A72" s="40">
        <v>1</v>
      </c>
      <c r="B72" s="42" t="s">
        <v>22</v>
      </c>
      <c r="C72" s="86">
        <v>46318</v>
      </c>
      <c r="D72" s="40">
        <v>1</v>
      </c>
      <c r="E72" s="11" t="s">
        <v>29</v>
      </c>
      <c r="F72" s="7" t="s">
        <v>152</v>
      </c>
      <c r="G72" s="11" t="s">
        <v>30</v>
      </c>
      <c r="H72" s="59" t="str">
        <f>G72</f>
        <v>TOKYO</v>
      </c>
      <c r="I72" s="12" t="s">
        <v>153</v>
      </c>
      <c r="J72" s="67" t="s">
        <v>154</v>
      </c>
      <c r="K72" s="50" t="s">
        <v>39</v>
      </c>
      <c r="L72" s="68">
        <v>46315</v>
      </c>
      <c r="M72" s="56">
        <v>65</v>
      </c>
      <c r="N72" s="12" t="s">
        <v>155</v>
      </c>
    </row>
    <row r="73" spans="1:14" ht="18" x14ac:dyDescent="0.35">
      <c r="A73" s="41"/>
      <c r="B73" s="39"/>
      <c r="C73" s="85"/>
      <c r="D73" s="41"/>
      <c r="E73" s="9"/>
      <c r="F73" s="13" t="s">
        <v>156</v>
      </c>
      <c r="G73" s="22" t="s">
        <v>157</v>
      </c>
      <c r="H73" s="53"/>
      <c r="I73" s="15"/>
      <c r="J73" s="53"/>
      <c r="K73" s="38"/>
      <c r="L73" s="41"/>
      <c r="M73" s="41"/>
      <c r="N73" s="33" t="s">
        <v>159</v>
      </c>
    </row>
    <row r="74" spans="1:14" ht="18" x14ac:dyDescent="0.35">
      <c r="A74" s="57"/>
      <c r="B74" s="58" t="s">
        <v>31</v>
      </c>
      <c r="C74" s="86">
        <v>46319</v>
      </c>
      <c r="D74" s="57"/>
      <c r="E74" s="11" t="s">
        <v>30</v>
      </c>
      <c r="F74" s="11" t="s">
        <v>30</v>
      </c>
      <c r="G74" s="11" t="s">
        <v>30</v>
      </c>
      <c r="H74" s="59" t="str">
        <f>G74</f>
        <v>TOKYO</v>
      </c>
      <c r="I74" s="12" t="s">
        <v>160</v>
      </c>
      <c r="J74" s="67" t="s">
        <v>154</v>
      </c>
      <c r="K74" s="50" t="s">
        <v>39</v>
      </c>
      <c r="L74" s="68">
        <v>46315</v>
      </c>
      <c r="M74" s="56">
        <v>65</v>
      </c>
      <c r="N74" s="12" t="s">
        <v>161</v>
      </c>
    </row>
    <row r="75" spans="1:14" ht="13.2" x14ac:dyDescent="0.25">
      <c r="A75" s="41"/>
      <c r="B75" s="39"/>
      <c r="C75" s="85"/>
      <c r="D75" s="41"/>
      <c r="E75" s="14"/>
      <c r="F75" s="14" t="s">
        <v>163</v>
      </c>
      <c r="G75" s="14" t="s">
        <v>164</v>
      </c>
      <c r="H75" s="53"/>
      <c r="I75" s="20"/>
      <c r="J75" s="53"/>
      <c r="K75" s="38"/>
      <c r="L75" s="41"/>
      <c r="M75" s="41"/>
      <c r="N75" s="20"/>
    </row>
    <row r="76" spans="1:14" ht="18" x14ac:dyDescent="0.35">
      <c r="A76" s="57"/>
      <c r="B76" s="58" t="s">
        <v>45</v>
      </c>
      <c r="C76" s="86">
        <v>46320</v>
      </c>
      <c r="D76" s="57"/>
      <c r="E76" s="11" t="s">
        <v>30</v>
      </c>
      <c r="F76" s="11" t="s">
        <v>30</v>
      </c>
      <c r="G76" s="11" t="s">
        <v>30</v>
      </c>
      <c r="H76" s="59" t="str">
        <f>G76</f>
        <v>TOKYO</v>
      </c>
      <c r="I76" s="12"/>
      <c r="J76" s="67" t="s">
        <v>154</v>
      </c>
      <c r="K76" s="50" t="s">
        <v>39</v>
      </c>
      <c r="L76" s="68">
        <v>46315</v>
      </c>
      <c r="M76" s="56">
        <v>65</v>
      </c>
      <c r="N76" s="12" t="s">
        <v>161</v>
      </c>
    </row>
    <row r="77" spans="1:14" ht="13.2" x14ac:dyDescent="0.25">
      <c r="A77" s="41"/>
      <c r="B77" s="39"/>
      <c r="C77" s="85"/>
      <c r="D77" s="41"/>
      <c r="E77" s="14"/>
      <c r="F77" s="14" t="s">
        <v>163</v>
      </c>
      <c r="G77" s="14" t="s">
        <v>165</v>
      </c>
      <c r="H77" s="53"/>
      <c r="I77" s="20" t="s">
        <v>166</v>
      </c>
      <c r="J77" s="53"/>
      <c r="K77" s="38"/>
      <c r="L77" s="41"/>
      <c r="M77" s="41"/>
      <c r="N77" s="20"/>
    </row>
    <row r="78" spans="1:14" ht="18" x14ac:dyDescent="0.35">
      <c r="A78" s="40">
        <v>1</v>
      </c>
      <c r="B78" s="42" t="s">
        <v>50</v>
      </c>
      <c r="C78" s="86">
        <v>46321</v>
      </c>
      <c r="D78" s="61">
        <v>0</v>
      </c>
      <c r="E78" s="11" t="s">
        <v>30</v>
      </c>
      <c r="F78" s="32" t="s">
        <v>191</v>
      </c>
      <c r="G78" s="32" t="s">
        <v>192</v>
      </c>
      <c r="H78" s="71" t="str">
        <f>G78</f>
        <v>Hokkawa/Akazawa</v>
      </c>
      <c r="I78" s="17" t="s">
        <v>194</v>
      </c>
      <c r="J78" s="60"/>
      <c r="K78" s="69"/>
      <c r="L78" s="55"/>
      <c r="M78" s="56"/>
      <c r="N78" s="17"/>
    </row>
    <row r="79" spans="1:14" ht="15.6" x14ac:dyDescent="0.3">
      <c r="A79" s="41"/>
      <c r="B79" s="39"/>
      <c r="C79" s="85"/>
      <c r="D79" s="41"/>
      <c r="E79" s="9" t="s">
        <v>193</v>
      </c>
      <c r="F79" s="9" t="s">
        <v>169</v>
      </c>
      <c r="G79" s="9" t="s">
        <v>169</v>
      </c>
      <c r="H79" s="53"/>
      <c r="I79" s="20"/>
      <c r="J79" s="53"/>
      <c r="K79" s="38"/>
      <c r="L79" s="41"/>
      <c r="M79" s="41"/>
      <c r="N79" s="20"/>
    </row>
    <row r="80" spans="1:14" ht="18" x14ac:dyDescent="0.35">
      <c r="A80" s="40">
        <v>1</v>
      </c>
      <c r="B80" s="42" t="s">
        <v>54</v>
      </c>
      <c r="C80" s="86">
        <v>46322</v>
      </c>
      <c r="D80" s="61">
        <v>0</v>
      </c>
      <c r="E80" s="32" t="s">
        <v>195</v>
      </c>
      <c r="F80" s="32" t="s">
        <v>196</v>
      </c>
      <c r="G80" s="32" t="s">
        <v>197</v>
      </c>
      <c r="H80" s="71" t="str">
        <f>G80</f>
        <v>Fujinomiya</v>
      </c>
      <c r="I80" s="17" t="s">
        <v>198</v>
      </c>
      <c r="J80" s="60"/>
      <c r="K80" s="69"/>
      <c r="L80" s="55"/>
      <c r="M80" s="56"/>
      <c r="N80" s="17"/>
    </row>
    <row r="81" spans="1:14" ht="15.6" x14ac:dyDescent="0.3">
      <c r="A81" s="41"/>
      <c r="B81" s="39"/>
      <c r="C81" s="85"/>
      <c r="D81" s="41"/>
      <c r="E81" s="9" t="s">
        <v>130</v>
      </c>
      <c r="F81" s="9"/>
      <c r="G81" s="22"/>
      <c r="H81" s="53"/>
      <c r="I81" s="20"/>
      <c r="J81" s="53"/>
      <c r="K81" s="38"/>
      <c r="L81" s="41"/>
      <c r="M81" s="41"/>
      <c r="N81" s="20"/>
    </row>
    <row r="82" spans="1:14" ht="18" x14ac:dyDescent="0.35">
      <c r="A82" s="70">
        <v>1</v>
      </c>
      <c r="B82" s="42" t="s">
        <v>55</v>
      </c>
      <c r="C82" s="86">
        <v>46323</v>
      </c>
      <c r="D82" s="61">
        <v>0</v>
      </c>
      <c r="E82" s="11"/>
      <c r="F82" s="11"/>
      <c r="G82" s="11" t="s">
        <v>199</v>
      </c>
      <c r="H82" s="71" t="str">
        <f>G82</f>
        <v>Hottarakashi</v>
      </c>
      <c r="I82" s="17" t="s">
        <v>200</v>
      </c>
      <c r="J82" s="60"/>
      <c r="K82" s="69"/>
      <c r="L82" s="55"/>
      <c r="M82" s="56"/>
      <c r="N82" s="17"/>
    </row>
    <row r="83" spans="1:14" ht="15.6" x14ac:dyDescent="0.3">
      <c r="A83" s="41"/>
      <c r="B83" s="39"/>
      <c r="C83" s="85"/>
      <c r="D83" s="41"/>
      <c r="E83" s="9" t="s">
        <v>130</v>
      </c>
      <c r="F83" s="9"/>
      <c r="G83" s="22"/>
      <c r="H83" s="53"/>
      <c r="I83" s="20"/>
      <c r="J83" s="53"/>
      <c r="K83" s="38"/>
      <c r="L83" s="41"/>
      <c r="M83" s="41"/>
      <c r="N83" s="20"/>
    </row>
    <row r="84" spans="1:14" ht="18" x14ac:dyDescent="0.35">
      <c r="A84" s="70">
        <v>1</v>
      </c>
      <c r="B84" s="42" t="s">
        <v>59</v>
      </c>
      <c r="C84" s="86">
        <v>46324</v>
      </c>
      <c r="D84" s="61">
        <v>0</v>
      </c>
      <c r="E84" s="11"/>
      <c r="F84" s="11" t="s">
        <v>30</v>
      </c>
      <c r="G84" s="11" t="s">
        <v>30</v>
      </c>
      <c r="H84" s="71" t="str">
        <f>G84</f>
        <v>TOKYO</v>
      </c>
      <c r="I84" s="17"/>
      <c r="J84" s="60"/>
      <c r="K84" s="69"/>
      <c r="L84" s="55"/>
      <c r="M84" s="56"/>
      <c r="N84" s="17"/>
    </row>
    <row r="85" spans="1:14" ht="15.6" x14ac:dyDescent="0.3">
      <c r="A85" s="41"/>
      <c r="B85" s="39"/>
      <c r="C85" s="85"/>
      <c r="D85" s="41"/>
      <c r="E85" s="9" t="s">
        <v>201</v>
      </c>
      <c r="F85" s="9" t="s">
        <v>168</v>
      </c>
      <c r="G85" s="22"/>
      <c r="H85" s="53"/>
      <c r="I85" s="20"/>
      <c r="J85" s="53"/>
      <c r="K85" s="38"/>
      <c r="L85" s="41"/>
      <c r="M85" s="41"/>
      <c r="N85" s="20"/>
    </row>
    <row r="86" spans="1:14" ht="18" x14ac:dyDescent="0.35">
      <c r="A86" s="70">
        <v>1</v>
      </c>
      <c r="B86" s="42" t="s">
        <v>22</v>
      </c>
      <c r="C86" s="86">
        <v>46325</v>
      </c>
      <c r="D86" s="40">
        <v>1</v>
      </c>
      <c r="E86" s="11" t="s">
        <v>30</v>
      </c>
      <c r="F86" s="11" t="s">
        <v>30</v>
      </c>
      <c r="G86" s="11" t="s">
        <v>30</v>
      </c>
      <c r="H86" s="59" t="str">
        <f>G86</f>
        <v>TOKYO</v>
      </c>
      <c r="I86" s="12" t="s">
        <v>171</v>
      </c>
      <c r="J86" s="72" t="s">
        <v>154</v>
      </c>
      <c r="K86" s="50" t="s">
        <v>39</v>
      </c>
      <c r="L86" s="68">
        <v>46322</v>
      </c>
      <c r="M86" s="56">
        <v>65</v>
      </c>
      <c r="N86" s="12" t="s">
        <v>155</v>
      </c>
    </row>
    <row r="87" spans="1:14" ht="15.6" x14ac:dyDescent="0.3">
      <c r="A87" s="41"/>
      <c r="B87" s="39"/>
      <c r="C87" s="85"/>
      <c r="D87" s="41"/>
      <c r="E87" s="9"/>
      <c r="F87" s="9"/>
      <c r="G87" s="23" t="s">
        <v>202</v>
      </c>
      <c r="H87" s="53"/>
      <c r="I87" s="15"/>
      <c r="J87" s="53"/>
      <c r="K87" s="38"/>
      <c r="L87" s="41"/>
      <c r="M87" s="41"/>
      <c r="N87" s="33" t="s">
        <v>172</v>
      </c>
    </row>
    <row r="88" spans="1:14" ht="18" x14ac:dyDescent="0.35">
      <c r="A88" s="57"/>
      <c r="B88" s="58" t="s">
        <v>31</v>
      </c>
      <c r="C88" s="86">
        <v>46326</v>
      </c>
      <c r="D88" s="57"/>
      <c r="E88" s="11" t="s">
        <v>30</v>
      </c>
      <c r="F88" s="11" t="s">
        <v>30</v>
      </c>
      <c r="G88" s="11" t="s">
        <v>30</v>
      </c>
      <c r="H88" s="59" t="str">
        <f>G88</f>
        <v>TOKYO</v>
      </c>
      <c r="I88" s="12" t="s">
        <v>173</v>
      </c>
      <c r="J88" s="72" t="s">
        <v>154</v>
      </c>
      <c r="K88" s="50" t="s">
        <v>39</v>
      </c>
      <c r="L88" s="68">
        <v>46322</v>
      </c>
      <c r="M88" s="56">
        <v>65</v>
      </c>
      <c r="N88" s="12" t="s">
        <v>161</v>
      </c>
    </row>
    <row r="89" spans="1:14" ht="13.2" x14ac:dyDescent="0.25">
      <c r="A89" s="41"/>
      <c r="B89" s="39"/>
      <c r="C89" s="85"/>
      <c r="D89" s="41"/>
      <c r="E89" s="14"/>
      <c r="F89" s="14"/>
      <c r="G89" s="14" t="s">
        <v>174</v>
      </c>
      <c r="H89" s="53"/>
      <c r="I89" s="20"/>
      <c r="J89" s="53"/>
      <c r="K89" s="38"/>
      <c r="L89" s="41"/>
      <c r="M89" s="41"/>
      <c r="N89" s="20"/>
    </row>
    <row r="90" spans="1:14" ht="18" x14ac:dyDescent="0.35">
      <c r="A90" s="57"/>
      <c r="B90" s="58" t="s">
        <v>45</v>
      </c>
      <c r="C90" s="86">
        <v>46327</v>
      </c>
      <c r="D90" s="57"/>
      <c r="E90" s="11" t="s">
        <v>30</v>
      </c>
      <c r="F90" s="11" t="s">
        <v>30</v>
      </c>
      <c r="G90" s="11" t="s">
        <v>30</v>
      </c>
      <c r="H90" s="59" t="str">
        <f>G90</f>
        <v>TOKYO</v>
      </c>
      <c r="I90" s="12" t="s">
        <v>175</v>
      </c>
      <c r="J90" s="72" t="s">
        <v>154</v>
      </c>
      <c r="K90" s="50" t="s">
        <v>39</v>
      </c>
      <c r="L90" s="68">
        <v>46322</v>
      </c>
      <c r="M90" s="56">
        <v>65</v>
      </c>
      <c r="N90" s="12" t="s">
        <v>161</v>
      </c>
    </row>
    <row r="91" spans="1:14" ht="13.2" x14ac:dyDescent="0.25">
      <c r="A91" s="41"/>
      <c r="B91" s="39"/>
      <c r="C91" s="85"/>
      <c r="D91" s="41"/>
      <c r="E91" s="14"/>
      <c r="F91" s="14" t="s">
        <v>176</v>
      </c>
      <c r="G91" s="14" t="s">
        <v>177</v>
      </c>
      <c r="H91" s="53"/>
      <c r="I91" s="20"/>
      <c r="J91" s="53"/>
      <c r="K91" s="38"/>
      <c r="L91" s="41"/>
      <c r="M91" s="41"/>
      <c r="N91" s="20"/>
    </row>
    <row r="92" spans="1:14" ht="18" x14ac:dyDescent="0.35">
      <c r="A92" s="62">
        <v>0</v>
      </c>
      <c r="B92" s="42" t="s">
        <v>50</v>
      </c>
      <c r="C92" s="86">
        <v>46328</v>
      </c>
      <c r="D92" s="62">
        <v>0</v>
      </c>
      <c r="E92" s="7" t="s">
        <v>203</v>
      </c>
      <c r="F92" s="11" t="s">
        <v>180</v>
      </c>
      <c r="G92" s="11" t="s">
        <v>180</v>
      </c>
      <c r="H92" s="59" t="str">
        <f>G92</f>
        <v>MIYAKOJIMA</v>
      </c>
      <c r="I92" s="17" t="s">
        <v>205</v>
      </c>
      <c r="J92" s="60" t="s">
        <v>206</v>
      </c>
      <c r="K92" s="48" t="s">
        <v>207</v>
      </c>
      <c r="L92" s="55">
        <v>46317</v>
      </c>
      <c r="M92" s="56">
        <v>68</v>
      </c>
      <c r="N92" s="17" t="s">
        <v>208</v>
      </c>
    </row>
    <row r="93" spans="1:14" ht="18" x14ac:dyDescent="0.35">
      <c r="A93" s="41"/>
      <c r="B93" s="39"/>
      <c r="C93" s="85"/>
      <c r="D93" s="41"/>
      <c r="E93" s="13" t="s">
        <v>204</v>
      </c>
      <c r="F93" s="9"/>
      <c r="G93" s="19" t="s">
        <v>178</v>
      </c>
      <c r="H93" s="53"/>
      <c r="I93" s="20"/>
      <c r="J93" s="53"/>
      <c r="K93" s="38"/>
      <c r="L93" s="41"/>
      <c r="M93" s="41"/>
      <c r="N93" s="20"/>
    </row>
    <row r="94" spans="1:14" ht="18" x14ac:dyDescent="0.35">
      <c r="A94" s="62">
        <v>0</v>
      </c>
      <c r="B94" s="42" t="s">
        <v>54</v>
      </c>
      <c r="C94" s="86">
        <v>46329</v>
      </c>
      <c r="D94" s="62">
        <v>0</v>
      </c>
      <c r="E94" s="11" t="s">
        <v>180</v>
      </c>
      <c r="F94" s="11" t="s">
        <v>180</v>
      </c>
      <c r="G94" s="11" t="s">
        <v>180</v>
      </c>
      <c r="H94" s="59" t="str">
        <f>G94</f>
        <v>MIYAKOJIMA</v>
      </c>
      <c r="I94" s="17" t="s">
        <v>209</v>
      </c>
      <c r="J94" s="60" t="s">
        <v>206</v>
      </c>
      <c r="K94" s="48" t="s">
        <v>210</v>
      </c>
      <c r="L94" s="55">
        <v>46317</v>
      </c>
      <c r="M94" s="56">
        <v>68</v>
      </c>
      <c r="N94" s="17"/>
    </row>
    <row r="95" spans="1:14" ht="15.6" x14ac:dyDescent="0.3">
      <c r="A95" s="41"/>
      <c r="B95" s="39"/>
      <c r="C95" s="85"/>
      <c r="D95" s="41"/>
      <c r="E95" s="9" t="s">
        <v>181</v>
      </c>
      <c r="F95" s="9"/>
      <c r="G95" s="19" t="s">
        <v>178</v>
      </c>
      <c r="H95" s="53"/>
      <c r="I95" s="20"/>
      <c r="J95" s="53"/>
      <c r="K95" s="38"/>
      <c r="L95" s="41"/>
      <c r="M95" s="41"/>
      <c r="N95" s="30" t="s">
        <v>211</v>
      </c>
    </row>
    <row r="96" spans="1:14" ht="18" x14ac:dyDescent="0.35">
      <c r="A96" s="62">
        <v>0</v>
      </c>
      <c r="B96" s="42" t="s">
        <v>55</v>
      </c>
      <c r="C96" s="86">
        <v>46330</v>
      </c>
      <c r="D96" s="62">
        <v>0</v>
      </c>
      <c r="E96" s="11" t="s">
        <v>180</v>
      </c>
      <c r="F96" s="11" t="s">
        <v>180</v>
      </c>
      <c r="G96" s="11" t="s">
        <v>180</v>
      </c>
      <c r="H96" s="59" t="str">
        <f>G96</f>
        <v>MIYAKOJIMA</v>
      </c>
      <c r="I96" s="17" t="s">
        <v>213</v>
      </c>
      <c r="J96" s="60" t="s">
        <v>214</v>
      </c>
      <c r="K96" s="45" t="s">
        <v>215</v>
      </c>
      <c r="L96" s="55">
        <v>46329</v>
      </c>
      <c r="M96" s="56">
        <v>36</v>
      </c>
      <c r="N96" s="17"/>
    </row>
    <row r="97" spans="1:14" ht="15.6" x14ac:dyDescent="0.3">
      <c r="A97" s="41"/>
      <c r="B97" s="39"/>
      <c r="C97" s="85"/>
      <c r="D97" s="41"/>
      <c r="E97" s="9" t="s">
        <v>212</v>
      </c>
      <c r="F97" s="9"/>
      <c r="G97" s="22"/>
      <c r="H97" s="53"/>
      <c r="I97" s="20"/>
      <c r="J97" s="53"/>
      <c r="K97" s="38"/>
      <c r="L97" s="41"/>
      <c r="M97" s="41"/>
      <c r="N97" s="20"/>
    </row>
    <row r="98" spans="1:14" ht="18" x14ac:dyDescent="0.35">
      <c r="A98" s="70">
        <v>1</v>
      </c>
      <c r="B98" s="42" t="s">
        <v>59</v>
      </c>
      <c r="C98" s="86">
        <v>46331</v>
      </c>
      <c r="D98" s="40">
        <v>1</v>
      </c>
      <c r="E98" s="11" t="s">
        <v>180</v>
      </c>
      <c r="F98" s="7" t="s">
        <v>216</v>
      </c>
      <c r="G98" s="11" t="s">
        <v>217</v>
      </c>
      <c r="H98" s="59" t="str">
        <f>G98</f>
        <v>NANJO</v>
      </c>
      <c r="I98" s="17" t="s">
        <v>220</v>
      </c>
      <c r="J98" s="60" t="s">
        <v>221</v>
      </c>
      <c r="K98" s="46" t="s">
        <v>35</v>
      </c>
      <c r="L98" s="55">
        <v>46316</v>
      </c>
      <c r="M98" s="56">
        <v>50</v>
      </c>
      <c r="N98" s="17" t="s">
        <v>222</v>
      </c>
    </row>
    <row r="99" spans="1:14" ht="18" x14ac:dyDescent="0.35">
      <c r="A99" s="41"/>
      <c r="B99" s="39"/>
      <c r="C99" s="85"/>
      <c r="D99" s="41"/>
      <c r="E99" s="9" t="s">
        <v>218</v>
      </c>
      <c r="F99" s="13" t="s">
        <v>219</v>
      </c>
      <c r="G99" s="22"/>
      <c r="H99" s="53"/>
      <c r="I99" s="20"/>
      <c r="J99" s="53"/>
      <c r="K99" s="47"/>
      <c r="L99" s="41"/>
      <c r="M99" s="41"/>
      <c r="N99" s="30" t="s">
        <v>223</v>
      </c>
    </row>
    <row r="100" spans="1:14" ht="18" x14ac:dyDescent="0.35">
      <c r="A100" s="70">
        <v>1</v>
      </c>
      <c r="B100" s="42" t="s">
        <v>22</v>
      </c>
      <c r="C100" s="86">
        <v>46332</v>
      </c>
      <c r="D100" s="70">
        <v>1</v>
      </c>
      <c r="E100" s="11" t="s">
        <v>217</v>
      </c>
      <c r="F100" s="11" t="s">
        <v>38</v>
      </c>
      <c r="G100" s="11" t="s">
        <v>38</v>
      </c>
      <c r="H100" s="59" t="str">
        <f>G100</f>
        <v>NAHA</v>
      </c>
      <c r="I100" s="17" t="s">
        <v>225</v>
      </c>
      <c r="J100" s="60" t="s">
        <v>182</v>
      </c>
      <c r="K100" s="48" t="s">
        <v>226</v>
      </c>
      <c r="L100" s="73" t="s">
        <v>184</v>
      </c>
      <c r="M100" s="56">
        <v>32</v>
      </c>
      <c r="N100" s="17"/>
    </row>
    <row r="101" spans="1:14" ht="15.6" x14ac:dyDescent="0.3">
      <c r="A101" s="41"/>
      <c r="B101" s="39"/>
      <c r="C101" s="85"/>
      <c r="D101" s="41"/>
      <c r="E101" s="9" t="s">
        <v>224</v>
      </c>
      <c r="F101" s="9"/>
      <c r="G101" s="22"/>
      <c r="H101" s="53"/>
      <c r="I101" s="20"/>
      <c r="J101" s="53"/>
      <c r="K101" s="38"/>
      <c r="L101" s="41"/>
      <c r="M101" s="41"/>
      <c r="N101" s="20"/>
    </row>
    <row r="102" spans="1:14" ht="18" x14ac:dyDescent="0.35">
      <c r="A102" s="57"/>
      <c r="B102" s="58" t="s">
        <v>31</v>
      </c>
      <c r="C102" s="86">
        <v>46333</v>
      </c>
      <c r="D102" s="57"/>
      <c r="E102" s="11" t="s">
        <v>38</v>
      </c>
      <c r="F102" s="11" t="s">
        <v>38</v>
      </c>
      <c r="G102" s="11" t="s">
        <v>38</v>
      </c>
      <c r="H102" s="59" t="str">
        <f>G102</f>
        <v>NAHA</v>
      </c>
      <c r="I102" s="17" t="s">
        <v>185</v>
      </c>
      <c r="J102" s="60" t="s">
        <v>182</v>
      </c>
      <c r="K102" s="48" t="s">
        <v>227</v>
      </c>
      <c r="L102" s="73" t="s">
        <v>184</v>
      </c>
      <c r="M102" s="56">
        <v>32</v>
      </c>
      <c r="N102" s="17"/>
    </row>
    <row r="103" spans="1:14" ht="13.2" x14ac:dyDescent="0.25">
      <c r="A103" s="41"/>
      <c r="B103" s="39"/>
      <c r="C103" s="85"/>
      <c r="D103" s="41"/>
      <c r="E103" s="14"/>
      <c r="F103" s="14"/>
      <c r="G103" s="14"/>
      <c r="H103" s="53"/>
      <c r="I103" s="20"/>
      <c r="J103" s="53"/>
      <c r="K103" s="38"/>
      <c r="L103" s="41"/>
      <c r="M103" s="41"/>
      <c r="N103" s="20"/>
    </row>
    <row r="104" spans="1:14" ht="21" x14ac:dyDescent="0.4">
      <c r="A104" s="57"/>
      <c r="B104" s="58" t="s">
        <v>45</v>
      </c>
      <c r="C104" s="86">
        <v>46334</v>
      </c>
      <c r="D104" s="57"/>
      <c r="E104" s="11" t="s">
        <v>38</v>
      </c>
      <c r="F104" s="7" t="s">
        <v>186</v>
      </c>
      <c r="G104" s="7" t="s">
        <v>32</v>
      </c>
      <c r="H104" s="43" t="s">
        <v>27</v>
      </c>
      <c r="I104" s="34"/>
      <c r="J104" s="34" t="s">
        <v>187</v>
      </c>
      <c r="K104" s="74">
        <f>SUM(M4:M103)</f>
        <v>2053</v>
      </c>
      <c r="L104" s="44"/>
      <c r="M104" s="37"/>
    </row>
    <row r="105" spans="1:14" ht="21" x14ac:dyDescent="0.4">
      <c r="A105" s="41"/>
      <c r="B105" s="39"/>
      <c r="C105" s="85"/>
      <c r="D105" s="41"/>
      <c r="E105" s="14"/>
      <c r="F105" s="10" t="s">
        <v>188</v>
      </c>
      <c r="G105" s="10">
        <v>0.97222222222222221</v>
      </c>
      <c r="H105" s="38"/>
      <c r="I105" s="35"/>
      <c r="J105" s="35" t="s">
        <v>189</v>
      </c>
      <c r="K105" s="75">
        <f>AVERAGE(M4:M103)</f>
        <v>44.630434782608695</v>
      </c>
      <c r="L105" s="41"/>
      <c r="M105" s="39"/>
      <c r="N105" s="36"/>
    </row>
    <row r="106" spans="1:14" ht="18" x14ac:dyDescent="0.35">
      <c r="A106" s="70">
        <v>1</v>
      </c>
      <c r="B106" s="42" t="s">
        <v>50</v>
      </c>
      <c r="C106" s="86">
        <v>46335</v>
      </c>
      <c r="D106" s="70">
        <v>1</v>
      </c>
      <c r="E106" s="7" t="s">
        <v>25</v>
      </c>
      <c r="F106" s="11"/>
      <c r="G106" s="11"/>
      <c r="I106" s="2"/>
      <c r="J106" s="2"/>
    </row>
    <row r="107" spans="1:14" ht="18" x14ac:dyDescent="0.35">
      <c r="A107" s="41"/>
      <c r="B107" s="39"/>
      <c r="C107" s="85"/>
      <c r="D107" s="41"/>
      <c r="E107" s="10">
        <v>0.28472222222222221</v>
      </c>
      <c r="F107" s="9"/>
      <c r="G107" s="22"/>
      <c r="I107" s="2"/>
      <c r="J107" s="2"/>
      <c r="M107" s="1"/>
      <c r="N107" s="1"/>
    </row>
    <row r="108" spans="1:14" ht="13.2" x14ac:dyDescent="0.25">
      <c r="I108" s="2"/>
      <c r="J108" s="2"/>
    </row>
    <row r="109" spans="1:14" ht="13.2" x14ac:dyDescent="0.25">
      <c r="I109" s="2"/>
      <c r="J109" s="2"/>
    </row>
    <row r="110" spans="1:14" ht="13.2" x14ac:dyDescent="0.25">
      <c r="I110" s="2"/>
      <c r="J110" s="2"/>
    </row>
    <row r="111" spans="1:14" ht="13.2" x14ac:dyDescent="0.25">
      <c r="I111" s="2"/>
      <c r="J111" s="2"/>
    </row>
    <row r="112" spans="1:14" ht="13.2" x14ac:dyDescent="0.25">
      <c r="I112" s="2"/>
      <c r="J112" s="2"/>
    </row>
    <row r="113" spans="9:10" ht="13.2" x14ac:dyDescent="0.25">
      <c r="I113" s="2"/>
      <c r="J113" s="2"/>
    </row>
    <row r="114" spans="9:10" ht="13.2" x14ac:dyDescent="0.25">
      <c r="I114" s="2"/>
      <c r="J114" s="2"/>
    </row>
    <row r="115" spans="9:10" ht="13.2" x14ac:dyDescent="0.25">
      <c r="I115" s="2"/>
      <c r="J115" s="2"/>
    </row>
    <row r="116" spans="9:10" ht="13.2" x14ac:dyDescent="0.25">
      <c r="I116" s="2"/>
      <c r="J116" s="2"/>
    </row>
    <row r="117" spans="9:10" ht="13.2" x14ac:dyDescent="0.25">
      <c r="I117" s="2"/>
      <c r="J117" s="2"/>
    </row>
    <row r="118" spans="9:10" ht="13.2" x14ac:dyDescent="0.25">
      <c r="I118" s="2"/>
      <c r="J118" s="2"/>
    </row>
    <row r="119" spans="9:10" ht="13.2" x14ac:dyDescent="0.25">
      <c r="I119" s="2"/>
      <c r="J119" s="2"/>
    </row>
    <row r="120" spans="9:10" ht="13.2" x14ac:dyDescent="0.25">
      <c r="I120" s="2"/>
      <c r="J120" s="2"/>
    </row>
    <row r="121" spans="9:10" ht="13.2" x14ac:dyDescent="0.25">
      <c r="I121" s="2"/>
      <c r="J121" s="2"/>
    </row>
    <row r="122" spans="9:10" ht="13.2" x14ac:dyDescent="0.25">
      <c r="I122" s="2"/>
      <c r="J122" s="2"/>
    </row>
    <row r="123" spans="9:10" ht="13.2" x14ac:dyDescent="0.25">
      <c r="I123" s="2"/>
      <c r="J123" s="2"/>
    </row>
    <row r="124" spans="9:10" ht="13.2" x14ac:dyDescent="0.25">
      <c r="I124" s="2"/>
      <c r="J124" s="2"/>
    </row>
    <row r="125" spans="9:10" ht="13.2" x14ac:dyDescent="0.25">
      <c r="I125" s="2"/>
      <c r="J125" s="2"/>
    </row>
    <row r="126" spans="9:10" ht="13.2" x14ac:dyDescent="0.25">
      <c r="I126" s="2"/>
      <c r="J126" s="2"/>
    </row>
    <row r="127" spans="9:10" ht="13.2" x14ac:dyDescent="0.25">
      <c r="I127" s="2"/>
      <c r="J127" s="2"/>
    </row>
    <row r="128" spans="9:10" ht="13.2" x14ac:dyDescent="0.25">
      <c r="I128" s="2"/>
      <c r="J128" s="2"/>
    </row>
    <row r="129" spans="9:10" ht="13.2" x14ac:dyDescent="0.25">
      <c r="I129" s="2"/>
      <c r="J129" s="2"/>
    </row>
    <row r="130" spans="9:10" ht="13.2" x14ac:dyDescent="0.25">
      <c r="I130" s="2"/>
      <c r="J130" s="2"/>
    </row>
    <row r="131" spans="9:10" ht="13.2" x14ac:dyDescent="0.25">
      <c r="I131" s="2"/>
      <c r="J131" s="2"/>
    </row>
    <row r="132" spans="9:10" ht="13.2" x14ac:dyDescent="0.25">
      <c r="I132" s="2"/>
      <c r="J132" s="2"/>
    </row>
    <row r="133" spans="9:10" ht="13.2" x14ac:dyDescent="0.25">
      <c r="I133" s="2"/>
      <c r="J133" s="2"/>
    </row>
    <row r="134" spans="9:10" ht="13.2" x14ac:dyDescent="0.25">
      <c r="I134" s="2"/>
      <c r="J134" s="2"/>
    </row>
    <row r="135" spans="9:10" ht="13.2" x14ac:dyDescent="0.25">
      <c r="I135" s="2"/>
      <c r="J135" s="2"/>
    </row>
    <row r="136" spans="9:10" ht="13.2" x14ac:dyDescent="0.25">
      <c r="I136" s="2"/>
      <c r="J136" s="2"/>
    </row>
    <row r="137" spans="9:10" ht="13.2" x14ac:dyDescent="0.25">
      <c r="I137" s="2"/>
      <c r="J137" s="2"/>
    </row>
    <row r="138" spans="9:10" ht="13.2" x14ac:dyDescent="0.25">
      <c r="I138" s="2"/>
      <c r="J138" s="2"/>
    </row>
    <row r="139" spans="9:10" ht="13.2" x14ac:dyDescent="0.25">
      <c r="I139" s="2"/>
      <c r="J139" s="2"/>
    </row>
    <row r="140" spans="9:10" ht="13.2" x14ac:dyDescent="0.25">
      <c r="I140" s="2"/>
      <c r="J140" s="2"/>
    </row>
    <row r="141" spans="9:10" ht="13.2" x14ac:dyDescent="0.25">
      <c r="I141" s="2"/>
      <c r="J141" s="2"/>
    </row>
    <row r="142" spans="9:10" ht="13.2" x14ac:dyDescent="0.25">
      <c r="I142" s="2"/>
      <c r="J142" s="2"/>
    </row>
    <row r="143" spans="9:10" ht="13.2" x14ac:dyDescent="0.25">
      <c r="I143" s="2"/>
      <c r="J143" s="2"/>
    </row>
    <row r="144" spans="9:10" ht="13.2" x14ac:dyDescent="0.25">
      <c r="I144" s="2"/>
      <c r="J144" s="2"/>
    </row>
    <row r="145" spans="9:10" ht="13.2" x14ac:dyDescent="0.25">
      <c r="I145" s="2"/>
      <c r="J145" s="2"/>
    </row>
    <row r="146" spans="9:10" ht="13.2" x14ac:dyDescent="0.25">
      <c r="I146" s="2"/>
      <c r="J146" s="2"/>
    </row>
    <row r="147" spans="9:10" ht="13.2" x14ac:dyDescent="0.25">
      <c r="I147" s="2"/>
      <c r="J147" s="2"/>
    </row>
    <row r="148" spans="9:10" ht="13.2" x14ac:dyDescent="0.25">
      <c r="I148" s="2"/>
      <c r="J148" s="2"/>
    </row>
    <row r="149" spans="9:10" ht="13.2" x14ac:dyDescent="0.25">
      <c r="I149" s="2"/>
      <c r="J149" s="2"/>
    </row>
    <row r="150" spans="9:10" ht="13.2" x14ac:dyDescent="0.25">
      <c r="I150" s="2"/>
      <c r="J150" s="2"/>
    </row>
    <row r="151" spans="9:10" ht="13.2" x14ac:dyDescent="0.25">
      <c r="I151" s="2"/>
      <c r="J151" s="2"/>
    </row>
    <row r="152" spans="9:10" ht="13.2" x14ac:dyDescent="0.25">
      <c r="I152" s="2"/>
      <c r="J152" s="2"/>
    </row>
    <row r="153" spans="9:10" ht="13.2" x14ac:dyDescent="0.25">
      <c r="I153" s="2"/>
      <c r="J153" s="2"/>
    </row>
    <row r="154" spans="9:10" ht="13.2" x14ac:dyDescent="0.25">
      <c r="I154" s="2"/>
      <c r="J154" s="2"/>
    </row>
    <row r="155" spans="9:10" ht="13.2" x14ac:dyDescent="0.25">
      <c r="I155" s="2"/>
      <c r="J155" s="2"/>
    </row>
    <row r="156" spans="9:10" ht="13.2" x14ac:dyDescent="0.25">
      <c r="I156" s="2"/>
      <c r="J156" s="2"/>
    </row>
    <row r="157" spans="9:10" ht="13.2" x14ac:dyDescent="0.25">
      <c r="I157" s="2"/>
      <c r="J157" s="2"/>
    </row>
    <row r="158" spans="9:10" ht="13.2" x14ac:dyDescent="0.25">
      <c r="I158" s="2"/>
      <c r="J158" s="2"/>
    </row>
    <row r="159" spans="9:10" ht="13.2" x14ac:dyDescent="0.25">
      <c r="I159" s="2"/>
      <c r="J159" s="2"/>
    </row>
    <row r="160" spans="9:10" ht="13.2" x14ac:dyDescent="0.25">
      <c r="I160" s="2"/>
      <c r="J160" s="2"/>
    </row>
    <row r="161" spans="9:10" ht="13.2" x14ac:dyDescent="0.25">
      <c r="I161" s="2"/>
      <c r="J161" s="2"/>
    </row>
    <row r="162" spans="9:10" ht="13.2" x14ac:dyDescent="0.25">
      <c r="I162" s="2"/>
      <c r="J162" s="2"/>
    </row>
    <row r="163" spans="9:10" ht="13.2" x14ac:dyDescent="0.25">
      <c r="I163" s="2"/>
      <c r="J163" s="2"/>
    </row>
    <row r="164" spans="9:10" ht="13.2" x14ac:dyDescent="0.25">
      <c r="I164" s="2"/>
      <c r="J164" s="2"/>
    </row>
    <row r="165" spans="9:10" ht="13.2" x14ac:dyDescent="0.25">
      <c r="I165" s="2"/>
      <c r="J165" s="2"/>
    </row>
    <row r="166" spans="9:10" ht="13.2" x14ac:dyDescent="0.25">
      <c r="I166" s="2"/>
      <c r="J166" s="2"/>
    </row>
    <row r="167" spans="9:10" ht="13.2" x14ac:dyDescent="0.25">
      <c r="I167" s="2"/>
      <c r="J167" s="2"/>
    </row>
    <row r="168" spans="9:10" ht="13.2" x14ac:dyDescent="0.25">
      <c r="I168" s="2"/>
      <c r="J168" s="2"/>
    </row>
    <row r="169" spans="9:10" ht="13.2" x14ac:dyDescent="0.25">
      <c r="I169" s="2"/>
      <c r="J169" s="2"/>
    </row>
    <row r="170" spans="9:10" ht="13.2" x14ac:dyDescent="0.25">
      <c r="I170" s="2"/>
      <c r="J170" s="2"/>
    </row>
    <row r="171" spans="9:10" ht="13.2" x14ac:dyDescent="0.25">
      <c r="I171" s="2"/>
      <c r="J171" s="2"/>
    </row>
    <row r="172" spans="9:10" ht="13.2" x14ac:dyDescent="0.25">
      <c r="I172" s="2"/>
      <c r="J172" s="2"/>
    </row>
    <row r="173" spans="9:10" ht="13.2" x14ac:dyDescent="0.25">
      <c r="I173" s="2"/>
      <c r="J173" s="2"/>
    </row>
    <row r="174" spans="9:10" ht="13.2" x14ac:dyDescent="0.25">
      <c r="I174" s="2"/>
      <c r="J174" s="2"/>
    </row>
    <row r="175" spans="9:10" ht="13.2" x14ac:dyDescent="0.25">
      <c r="I175" s="2"/>
      <c r="J175" s="2"/>
    </row>
    <row r="176" spans="9:10" ht="13.2" x14ac:dyDescent="0.25">
      <c r="I176" s="2"/>
      <c r="J176" s="2"/>
    </row>
    <row r="177" spans="9:10" ht="13.2" x14ac:dyDescent="0.25">
      <c r="I177" s="2"/>
      <c r="J177" s="2"/>
    </row>
    <row r="178" spans="9:10" ht="13.2" x14ac:dyDescent="0.25">
      <c r="I178" s="2"/>
      <c r="J178" s="2"/>
    </row>
    <row r="179" spans="9:10" ht="13.2" x14ac:dyDescent="0.25">
      <c r="I179" s="2"/>
      <c r="J179" s="2"/>
    </row>
    <row r="180" spans="9:10" ht="13.2" x14ac:dyDescent="0.25">
      <c r="I180" s="2"/>
      <c r="J180" s="2"/>
    </row>
    <row r="181" spans="9:10" ht="13.2" x14ac:dyDescent="0.25">
      <c r="I181" s="2"/>
      <c r="J181" s="2"/>
    </row>
    <row r="182" spans="9:10" ht="13.2" x14ac:dyDescent="0.25">
      <c r="I182" s="2"/>
      <c r="J182" s="2"/>
    </row>
    <row r="183" spans="9:10" ht="13.2" x14ac:dyDescent="0.25">
      <c r="I183" s="2"/>
      <c r="J183" s="2"/>
    </row>
    <row r="184" spans="9:10" ht="13.2" x14ac:dyDescent="0.25">
      <c r="I184" s="2"/>
      <c r="J184" s="2"/>
    </row>
    <row r="185" spans="9:10" ht="13.2" x14ac:dyDescent="0.25">
      <c r="I185" s="2"/>
      <c r="J185" s="2"/>
    </row>
    <row r="186" spans="9:10" ht="13.2" x14ac:dyDescent="0.25">
      <c r="I186" s="2"/>
      <c r="J186" s="2"/>
    </row>
    <row r="187" spans="9:10" ht="13.2" x14ac:dyDescent="0.25">
      <c r="I187" s="2"/>
      <c r="J187" s="2"/>
    </row>
    <row r="188" spans="9:10" ht="13.2" x14ac:dyDescent="0.25">
      <c r="I188" s="2"/>
      <c r="J188" s="2"/>
    </row>
    <row r="189" spans="9:10" ht="13.2" x14ac:dyDescent="0.25">
      <c r="I189" s="2"/>
      <c r="J189" s="2"/>
    </row>
    <row r="190" spans="9:10" ht="13.2" x14ac:dyDescent="0.25">
      <c r="I190" s="2"/>
      <c r="J190" s="2"/>
    </row>
    <row r="191" spans="9:10" ht="13.2" x14ac:dyDescent="0.25">
      <c r="I191" s="2"/>
      <c r="J191" s="2"/>
    </row>
    <row r="192" spans="9:10" ht="13.2" x14ac:dyDescent="0.25">
      <c r="I192" s="2"/>
      <c r="J192" s="2"/>
    </row>
    <row r="193" spans="9:10" ht="13.2" x14ac:dyDescent="0.25">
      <c r="I193" s="2"/>
      <c r="J193" s="2"/>
    </row>
    <row r="194" spans="9:10" ht="13.2" x14ac:dyDescent="0.25">
      <c r="I194" s="2"/>
      <c r="J194" s="2"/>
    </row>
    <row r="195" spans="9:10" ht="13.2" x14ac:dyDescent="0.25">
      <c r="I195" s="2"/>
      <c r="J195" s="2"/>
    </row>
    <row r="196" spans="9:10" ht="13.2" x14ac:dyDescent="0.25">
      <c r="I196" s="2"/>
      <c r="J196" s="2"/>
    </row>
    <row r="197" spans="9:10" ht="13.2" x14ac:dyDescent="0.25">
      <c r="I197" s="2"/>
      <c r="J197" s="2"/>
    </row>
    <row r="198" spans="9:10" ht="13.2" x14ac:dyDescent="0.25">
      <c r="I198" s="2"/>
      <c r="J198" s="2"/>
    </row>
    <row r="199" spans="9:10" ht="13.2" x14ac:dyDescent="0.25">
      <c r="I199" s="2"/>
      <c r="J199" s="2"/>
    </row>
    <row r="200" spans="9:10" ht="13.2" x14ac:dyDescent="0.25">
      <c r="I200" s="2"/>
      <c r="J200" s="2"/>
    </row>
    <row r="201" spans="9:10" ht="13.2" x14ac:dyDescent="0.25">
      <c r="I201" s="2"/>
      <c r="J201" s="2"/>
    </row>
    <row r="202" spans="9:10" ht="13.2" x14ac:dyDescent="0.25">
      <c r="I202" s="2"/>
      <c r="J202" s="2"/>
    </row>
    <row r="203" spans="9:10" ht="13.2" x14ac:dyDescent="0.25">
      <c r="I203" s="2"/>
      <c r="J203" s="2"/>
    </row>
    <row r="204" spans="9:10" ht="13.2" x14ac:dyDescent="0.25">
      <c r="I204" s="2"/>
      <c r="J204" s="2"/>
    </row>
    <row r="205" spans="9:10" ht="13.2" x14ac:dyDescent="0.25">
      <c r="I205" s="2"/>
      <c r="J205" s="2"/>
    </row>
    <row r="206" spans="9:10" ht="13.2" x14ac:dyDescent="0.25">
      <c r="I206" s="2"/>
      <c r="J206" s="2"/>
    </row>
    <row r="207" spans="9:10" ht="13.2" x14ac:dyDescent="0.25">
      <c r="I207" s="2"/>
      <c r="J207" s="2"/>
    </row>
    <row r="208" spans="9:10" ht="13.2" x14ac:dyDescent="0.25">
      <c r="I208" s="2"/>
      <c r="J208" s="2"/>
    </row>
    <row r="209" spans="9:10" ht="13.2" x14ac:dyDescent="0.25">
      <c r="I209" s="2"/>
      <c r="J209" s="2"/>
    </row>
    <row r="210" spans="9:10" ht="13.2" x14ac:dyDescent="0.25">
      <c r="I210" s="2"/>
      <c r="J210" s="2"/>
    </row>
    <row r="211" spans="9:10" ht="13.2" x14ac:dyDescent="0.25">
      <c r="I211" s="2"/>
      <c r="J211" s="2"/>
    </row>
    <row r="212" spans="9:10" ht="13.2" x14ac:dyDescent="0.25">
      <c r="I212" s="2"/>
      <c r="J212" s="2"/>
    </row>
    <row r="213" spans="9:10" ht="13.2" x14ac:dyDescent="0.25">
      <c r="I213" s="2"/>
      <c r="J213" s="2"/>
    </row>
    <row r="214" spans="9:10" ht="13.2" x14ac:dyDescent="0.25">
      <c r="I214" s="2"/>
      <c r="J214" s="2"/>
    </row>
    <row r="215" spans="9:10" ht="13.2" x14ac:dyDescent="0.25">
      <c r="I215" s="2"/>
      <c r="J215" s="2"/>
    </row>
    <row r="216" spans="9:10" ht="13.2" x14ac:dyDescent="0.25">
      <c r="I216" s="2"/>
      <c r="J216" s="2"/>
    </row>
    <row r="217" spans="9:10" ht="13.2" x14ac:dyDescent="0.25">
      <c r="I217" s="2"/>
      <c r="J217" s="2"/>
    </row>
    <row r="218" spans="9:10" ht="13.2" x14ac:dyDescent="0.25">
      <c r="I218" s="2"/>
      <c r="J218" s="2"/>
    </row>
    <row r="219" spans="9:10" ht="13.2" x14ac:dyDescent="0.25">
      <c r="I219" s="2"/>
      <c r="J219" s="2"/>
    </row>
    <row r="220" spans="9:10" ht="13.2" x14ac:dyDescent="0.25">
      <c r="I220" s="2"/>
      <c r="J220" s="2"/>
    </row>
    <row r="221" spans="9:10" ht="13.2" x14ac:dyDescent="0.25">
      <c r="I221" s="2"/>
      <c r="J221" s="2"/>
    </row>
    <row r="222" spans="9:10" ht="13.2" x14ac:dyDescent="0.25">
      <c r="I222" s="2"/>
      <c r="J222" s="2"/>
    </row>
    <row r="223" spans="9:10" ht="13.2" x14ac:dyDescent="0.25">
      <c r="I223" s="2"/>
      <c r="J223" s="2"/>
    </row>
    <row r="224" spans="9:10" ht="13.2" x14ac:dyDescent="0.25">
      <c r="I224" s="2"/>
      <c r="J224" s="2"/>
    </row>
    <row r="225" spans="9:10" ht="13.2" x14ac:dyDescent="0.25">
      <c r="I225" s="2"/>
      <c r="J225" s="2"/>
    </row>
    <row r="226" spans="9:10" ht="13.2" x14ac:dyDescent="0.25">
      <c r="I226" s="2"/>
      <c r="J226" s="2"/>
    </row>
    <row r="227" spans="9:10" ht="13.2" x14ac:dyDescent="0.25">
      <c r="I227" s="2"/>
      <c r="J227" s="2"/>
    </row>
    <row r="228" spans="9:10" ht="13.2" x14ac:dyDescent="0.25">
      <c r="I228" s="2"/>
      <c r="J228" s="2"/>
    </row>
    <row r="229" spans="9:10" ht="13.2" x14ac:dyDescent="0.25">
      <c r="I229" s="2"/>
      <c r="J229" s="2"/>
    </row>
    <row r="230" spans="9:10" ht="13.2" x14ac:dyDescent="0.25">
      <c r="I230" s="2"/>
      <c r="J230" s="2"/>
    </row>
    <row r="231" spans="9:10" ht="13.2" x14ac:dyDescent="0.25">
      <c r="I231" s="2"/>
      <c r="J231" s="2"/>
    </row>
    <row r="232" spans="9:10" ht="13.2" x14ac:dyDescent="0.25">
      <c r="I232" s="2"/>
      <c r="J232" s="2"/>
    </row>
    <row r="233" spans="9:10" ht="13.2" x14ac:dyDescent="0.25">
      <c r="I233" s="2"/>
      <c r="J233" s="2"/>
    </row>
    <row r="234" spans="9:10" ht="13.2" x14ac:dyDescent="0.25">
      <c r="I234" s="2"/>
      <c r="J234" s="2"/>
    </row>
    <row r="235" spans="9:10" ht="13.2" x14ac:dyDescent="0.25">
      <c r="I235" s="2"/>
      <c r="J235" s="2"/>
    </row>
    <row r="236" spans="9:10" ht="13.2" x14ac:dyDescent="0.25">
      <c r="I236" s="2"/>
      <c r="J236" s="2"/>
    </row>
    <row r="237" spans="9:10" ht="13.2" x14ac:dyDescent="0.25">
      <c r="I237" s="2"/>
      <c r="J237" s="2"/>
    </row>
    <row r="238" spans="9:10" ht="13.2" x14ac:dyDescent="0.25">
      <c r="I238" s="2"/>
      <c r="J238" s="2"/>
    </row>
    <row r="239" spans="9:10" ht="13.2" x14ac:dyDescent="0.25">
      <c r="I239" s="2"/>
      <c r="J239" s="2"/>
    </row>
    <row r="240" spans="9:10" ht="13.2" x14ac:dyDescent="0.25">
      <c r="I240" s="2"/>
      <c r="J240" s="2"/>
    </row>
    <row r="241" spans="9:10" ht="13.2" x14ac:dyDescent="0.25">
      <c r="I241" s="2"/>
      <c r="J241" s="2"/>
    </row>
    <row r="242" spans="9:10" ht="13.2" x14ac:dyDescent="0.25">
      <c r="I242" s="2"/>
      <c r="J242" s="2"/>
    </row>
    <row r="243" spans="9:10" ht="13.2" x14ac:dyDescent="0.25">
      <c r="I243" s="2"/>
      <c r="J243" s="2"/>
    </row>
    <row r="244" spans="9:10" ht="13.2" x14ac:dyDescent="0.25">
      <c r="I244" s="2"/>
      <c r="J244" s="2"/>
    </row>
    <row r="245" spans="9:10" ht="13.2" x14ac:dyDescent="0.25">
      <c r="I245" s="2"/>
      <c r="J245" s="2"/>
    </row>
    <row r="246" spans="9:10" ht="13.2" x14ac:dyDescent="0.25">
      <c r="I246" s="2"/>
      <c r="J246" s="2"/>
    </row>
    <row r="247" spans="9:10" ht="13.2" x14ac:dyDescent="0.25">
      <c r="I247" s="2"/>
      <c r="J247" s="2"/>
    </row>
    <row r="248" spans="9:10" ht="13.2" x14ac:dyDescent="0.25">
      <c r="I248" s="2"/>
      <c r="J248" s="2"/>
    </row>
    <row r="249" spans="9:10" ht="13.2" x14ac:dyDescent="0.25">
      <c r="I249" s="2"/>
      <c r="J249" s="2"/>
    </row>
    <row r="250" spans="9:10" ht="13.2" x14ac:dyDescent="0.25">
      <c r="I250" s="2"/>
      <c r="J250" s="2"/>
    </row>
    <row r="251" spans="9:10" ht="13.2" x14ac:dyDescent="0.25">
      <c r="I251" s="2"/>
      <c r="J251" s="2"/>
    </row>
    <row r="252" spans="9:10" ht="13.2" x14ac:dyDescent="0.25">
      <c r="I252" s="2"/>
      <c r="J252" s="2"/>
    </row>
    <row r="253" spans="9:10" ht="13.2" x14ac:dyDescent="0.25">
      <c r="I253" s="2"/>
      <c r="J253" s="2"/>
    </row>
    <row r="254" spans="9:10" ht="13.2" x14ac:dyDescent="0.25">
      <c r="I254" s="2"/>
      <c r="J254" s="2"/>
    </row>
    <row r="255" spans="9:10" ht="13.2" x14ac:dyDescent="0.25">
      <c r="I255" s="2"/>
      <c r="J255" s="2"/>
    </row>
    <row r="256" spans="9:10" ht="13.2" x14ac:dyDescent="0.25">
      <c r="I256" s="2"/>
      <c r="J256" s="2"/>
    </row>
    <row r="257" spans="9:10" ht="13.2" x14ac:dyDescent="0.25">
      <c r="I257" s="2"/>
      <c r="J257" s="2"/>
    </row>
    <row r="258" spans="9:10" ht="13.2" x14ac:dyDescent="0.25">
      <c r="I258" s="2"/>
      <c r="J258" s="2"/>
    </row>
    <row r="259" spans="9:10" ht="13.2" x14ac:dyDescent="0.25">
      <c r="I259" s="2"/>
      <c r="J259" s="2"/>
    </row>
    <row r="260" spans="9:10" ht="13.2" x14ac:dyDescent="0.25">
      <c r="I260" s="2"/>
      <c r="J260" s="2"/>
    </row>
    <row r="261" spans="9:10" ht="13.2" x14ac:dyDescent="0.25">
      <c r="I261" s="2"/>
      <c r="J261" s="2"/>
    </row>
    <row r="262" spans="9:10" ht="13.2" x14ac:dyDescent="0.25">
      <c r="I262" s="2"/>
      <c r="J262" s="2"/>
    </row>
    <row r="263" spans="9:10" ht="13.2" x14ac:dyDescent="0.25">
      <c r="I263" s="2"/>
      <c r="J263" s="2"/>
    </row>
    <row r="264" spans="9:10" ht="13.2" x14ac:dyDescent="0.25">
      <c r="I264" s="2"/>
      <c r="J264" s="2"/>
    </row>
    <row r="265" spans="9:10" ht="13.2" x14ac:dyDescent="0.25">
      <c r="I265" s="2"/>
      <c r="J265" s="2"/>
    </row>
    <row r="266" spans="9:10" ht="13.2" x14ac:dyDescent="0.25">
      <c r="I266" s="2"/>
      <c r="J266" s="2"/>
    </row>
    <row r="267" spans="9:10" ht="13.2" x14ac:dyDescent="0.25">
      <c r="I267" s="2"/>
      <c r="J267" s="2"/>
    </row>
    <row r="268" spans="9:10" ht="13.2" x14ac:dyDescent="0.25">
      <c r="I268" s="2"/>
      <c r="J268" s="2"/>
    </row>
    <row r="269" spans="9:10" ht="13.2" x14ac:dyDescent="0.25">
      <c r="I269" s="2"/>
      <c r="J269" s="2"/>
    </row>
    <row r="270" spans="9:10" ht="13.2" x14ac:dyDescent="0.25">
      <c r="I270" s="2"/>
      <c r="J270" s="2"/>
    </row>
    <row r="271" spans="9:10" ht="13.2" x14ac:dyDescent="0.25">
      <c r="I271" s="2"/>
      <c r="J271" s="2"/>
    </row>
    <row r="272" spans="9:10" ht="13.2" x14ac:dyDescent="0.25">
      <c r="I272" s="2"/>
      <c r="J272" s="2"/>
    </row>
    <row r="273" spans="9:10" ht="13.2" x14ac:dyDescent="0.25">
      <c r="I273" s="2"/>
      <c r="J273" s="2"/>
    </row>
    <row r="274" spans="9:10" ht="13.2" x14ac:dyDescent="0.25">
      <c r="I274" s="2"/>
      <c r="J274" s="2"/>
    </row>
    <row r="275" spans="9:10" ht="13.2" x14ac:dyDescent="0.25">
      <c r="I275" s="2"/>
      <c r="J275" s="2"/>
    </row>
    <row r="276" spans="9:10" ht="13.2" x14ac:dyDescent="0.25">
      <c r="I276" s="2"/>
      <c r="J276" s="2"/>
    </row>
    <row r="277" spans="9:10" ht="13.2" x14ac:dyDescent="0.25">
      <c r="I277" s="2"/>
      <c r="J277" s="2"/>
    </row>
    <row r="278" spans="9:10" ht="13.2" x14ac:dyDescent="0.25">
      <c r="I278" s="2"/>
      <c r="J278" s="2"/>
    </row>
    <row r="279" spans="9:10" ht="13.2" x14ac:dyDescent="0.25">
      <c r="I279" s="2"/>
      <c r="J279" s="2"/>
    </row>
    <row r="280" spans="9:10" ht="13.2" x14ac:dyDescent="0.25">
      <c r="I280" s="2"/>
      <c r="J280" s="2"/>
    </row>
    <row r="281" spans="9:10" ht="13.2" x14ac:dyDescent="0.25">
      <c r="I281" s="2"/>
      <c r="J281" s="2"/>
    </row>
    <row r="282" spans="9:10" ht="13.2" x14ac:dyDescent="0.25">
      <c r="I282" s="2"/>
      <c r="J282" s="2"/>
    </row>
    <row r="283" spans="9:10" ht="13.2" x14ac:dyDescent="0.25">
      <c r="I283" s="2"/>
      <c r="J283" s="2"/>
    </row>
    <row r="284" spans="9:10" ht="13.2" x14ac:dyDescent="0.25">
      <c r="I284" s="2"/>
      <c r="J284" s="2"/>
    </row>
    <row r="285" spans="9:10" ht="13.2" x14ac:dyDescent="0.25">
      <c r="I285" s="2"/>
      <c r="J285" s="2"/>
    </row>
    <row r="286" spans="9:10" ht="13.2" x14ac:dyDescent="0.25">
      <c r="I286" s="2"/>
      <c r="J286" s="2"/>
    </row>
    <row r="287" spans="9:10" ht="13.2" x14ac:dyDescent="0.25">
      <c r="I287" s="2"/>
      <c r="J287" s="2"/>
    </row>
    <row r="288" spans="9:10" ht="13.2" x14ac:dyDescent="0.25">
      <c r="I288" s="2"/>
      <c r="J288" s="2"/>
    </row>
    <row r="289" spans="9:10" ht="13.2" x14ac:dyDescent="0.25">
      <c r="I289" s="2"/>
      <c r="J289" s="2"/>
    </row>
    <row r="290" spans="9:10" ht="13.2" x14ac:dyDescent="0.25">
      <c r="I290" s="2"/>
      <c r="J290" s="2"/>
    </row>
    <row r="291" spans="9:10" ht="13.2" x14ac:dyDescent="0.25">
      <c r="I291" s="2"/>
      <c r="J291" s="2"/>
    </row>
    <row r="292" spans="9:10" ht="13.2" x14ac:dyDescent="0.25">
      <c r="I292" s="2"/>
      <c r="J292" s="2"/>
    </row>
    <row r="293" spans="9:10" ht="13.2" x14ac:dyDescent="0.25">
      <c r="I293" s="2"/>
      <c r="J293" s="2"/>
    </row>
    <row r="294" spans="9:10" ht="13.2" x14ac:dyDescent="0.25">
      <c r="I294" s="2"/>
      <c r="J294" s="2"/>
    </row>
    <row r="295" spans="9:10" ht="13.2" x14ac:dyDescent="0.25">
      <c r="I295" s="2"/>
      <c r="J295" s="2"/>
    </row>
    <row r="296" spans="9:10" ht="13.2" x14ac:dyDescent="0.25">
      <c r="I296" s="2"/>
      <c r="J296" s="2"/>
    </row>
    <row r="297" spans="9:10" ht="13.2" x14ac:dyDescent="0.25">
      <c r="I297" s="2"/>
      <c r="J297" s="2"/>
    </row>
    <row r="298" spans="9:10" ht="13.2" x14ac:dyDescent="0.25">
      <c r="I298" s="2"/>
      <c r="J298" s="2"/>
    </row>
    <row r="299" spans="9:10" ht="13.2" x14ac:dyDescent="0.25">
      <c r="I299" s="2"/>
      <c r="J299" s="2"/>
    </row>
    <row r="300" spans="9:10" ht="13.2" x14ac:dyDescent="0.25">
      <c r="I300" s="2"/>
      <c r="J300" s="2"/>
    </row>
    <row r="301" spans="9:10" ht="13.2" x14ac:dyDescent="0.25">
      <c r="I301" s="2"/>
      <c r="J301" s="2"/>
    </row>
    <row r="302" spans="9:10" ht="13.2" x14ac:dyDescent="0.25">
      <c r="I302" s="2"/>
      <c r="J302" s="2"/>
    </row>
    <row r="303" spans="9:10" ht="13.2" x14ac:dyDescent="0.25">
      <c r="I303" s="2"/>
      <c r="J303" s="2"/>
    </row>
    <row r="304" spans="9:10" ht="13.2" x14ac:dyDescent="0.25">
      <c r="I304" s="2"/>
      <c r="J304" s="2"/>
    </row>
    <row r="305" spans="9:10" ht="13.2" x14ac:dyDescent="0.25">
      <c r="I305" s="2"/>
      <c r="J305" s="2"/>
    </row>
    <row r="306" spans="9:10" ht="13.2" x14ac:dyDescent="0.25">
      <c r="I306" s="2"/>
      <c r="J306" s="2"/>
    </row>
    <row r="307" spans="9:10" ht="13.2" x14ac:dyDescent="0.25">
      <c r="I307" s="2"/>
      <c r="J307" s="2"/>
    </row>
    <row r="308" spans="9:10" ht="13.2" x14ac:dyDescent="0.25">
      <c r="I308" s="2"/>
      <c r="J308" s="2"/>
    </row>
    <row r="309" spans="9:10" ht="13.2" x14ac:dyDescent="0.25">
      <c r="I309" s="2"/>
      <c r="J309" s="2"/>
    </row>
    <row r="310" spans="9:10" ht="13.2" x14ac:dyDescent="0.25">
      <c r="I310" s="2"/>
      <c r="J310" s="2"/>
    </row>
    <row r="311" spans="9:10" ht="13.2" x14ac:dyDescent="0.25">
      <c r="I311" s="2"/>
      <c r="J311" s="2"/>
    </row>
    <row r="312" spans="9:10" ht="13.2" x14ac:dyDescent="0.25">
      <c r="I312" s="2"/>
      <c r="J312" s="2"/>
    </row>
    <row r="313" spans="9:10" ht="13.2" x14ac:dyDescent="0.25">
      <c r="I313" s="2"/>
      <c r="J313" s="2"/>
    </row>
    <row r="314" spans="9:10" ht="13.2" x14ac:dyDescent="0.25">
      <c r="I314" s="2"/>
      <c r="J314" s="2"/>
    </row>
    <row r="315" spans="9:10" ht="13.2" x14ac:dyDescent="0.25">
      <c r="I315" s="2"/>
      <c r="J315" s="2"/>
    </row>
    <row r="316" spans="9:10" ht="13.2" x14ac:dyDescent="0.25">
      <c r="I316" s="2"/>
      <c r="J316" s="2"/>
    </row>
    <row r="317" spans="9:10" ht="13.2" x14ac:dyDescent="0.25">
      <c r="I317" s="2"/>
      <c r="J317" s="2"/>
    </row>
    <row r="318" spans="9:10" ht="13.2" x14ac:dyDescent="0.25">
      <c r="I318" s="2"/>
      <c r="J318" s="2"/>
    </row>
    <row r="319" spans="9:10" ht="13.2" x14ac:dyDescent="0.25">
      <c r="I319" s="2"/>
      <c r="J319" s="2"/>
    </row>
    <row r="320" spans="9:10" ht="13.2" x14ac:dyDescent="0.25">
      <c r="I320" s="2"/>
      <c r="J320" s="2"/>
    </row>
    <row r="321" spans="9:10" ht="13.2" x14ac:dyDescent="0.25">
      <c r="I321" s="2"/>
      <c r="J321" s="2"/>
    </row>
    <row r="322" spans="9:10" ht="13.2" x14ac:dyDescent="0.25">
      <c r="I322" s="2"/>
      <c r="J322" s="2"/>
    </row>
    <row r="323" spans="9:10" ht="13.2" x14ac:dyDescent="0.25">
      <c r="I323" s="2"/>
      <c r="J323" s="2"/>
    </row>
    <row r="324" spans="9:10" ht="13.2" x14ac:dyDescent="0.25">
      <c r="I324" s="2"/>
      <c r="J324" s="2"/>
    </row>
    <row r="325" spans="9:10" ht="13.2" x14ac:dyDescent="0.25">
      <c r="I325" s="2"/>
      <c r="J325" s="2"/>
    </row>
    <row r="326" spans="9:10" ht="13.2" x14ac:dyDescent="0.25">
      <c r="I326" s="2"/>
      <c r="J326" s="2"/>
    </row>
    <row r="327" spans="9:10" ht="13.2" x14ac:dyDescent="0.25">
      <c r="I327" s="2"/>
      <c r="J327" s="2"/>
    </row>
    <row r="328" spans="9:10" ht="13.2" x14ac:dyDescent="0.25">
      <c r="I328" s="2"/>
      <c r="J328" s="2"/>
    </row>
    <row r="329" spans="9:10" ht="13.2" x14ac:dyDescent="0.25">
      <c r="I329" s="2"/>
      <c r="J329" s="2"/>
    </row>
    <row r="330" spans="9:10" ht="13.2" x14ac:dyDescent="0.25">
      <c r="I330" s="2"/>
      <c r="J330" s="2"/>
    </row>
    <row r="331" spans="9:10" ht="13.2" x14ac:dyDescent="0.25">
      <c r="I331" s="2"/>
      <c r="J331" s="2"/>
    </row>
    <row r="332" spans="9:10" ht="13.2" x14ac:dyDescent="0.25">
      <c r="I332" s="2"/>
      <c r="J332" s="2"/>
    </row>
    <row r="333" spans="9:10" ht="13.2" x14ac:dyDescent="0.25">
      <c r="I333" s="2"/>
      <c r="J333" s="2"/>
    </row>
    <row r="334" spans="9:10" ht="13.2" x14ac:dyDescent="0.25">
      <c r="I334" s="2"/>
      <c r="J334" s="2"/>
    </row>
    <row r="335" spans="9:10" ht="13.2" x14ac:dyDescent="0.25">
      <c r="I335" s="2"/>
      <c r="J335" s="2"/>
    </row>
    <row r="336" spans="9:10" ht="13.2" x14ac:dyDescent="0.25">
      <c r="I336" s="2"/>
      <c r="J336" s="2"/>
    </row>
    <row r="337" spans="9:10" ht="13.2" x14ac:dyDescent="0.25">
      <c r="I337" s="2"/>
      <c r="J337" s="2"/>
    </row>
    <row r="338" spans="9:10" ht="13.2" x14ac:dyDescent="0.25">
      <c r="I338" s="2"/>
      <c r="J338" s="2"/>
    </row>
    <row r="339" spans="9:10" ht="13.2" x14ac:dyDescent="0.25">
      <c r="I339" s="2"/>
      <c r="J339" s="2"/>
    </row>
    <row r="340" spans="9:10" ht="13.2" x14ac:dyDescent="0.25">
      <c r="I340" s="2"/>
      <c r="J340" s="2"/>
    </row>
    <row r="341" spans="9:10" ht="13.2" x14ac:dyDescent="0.25">
      <c r="I341" s="2"/>
      <c r="J341" s="2"/>
    </row>
    <row r="342" spans="9:10" ht="13.2" x14ac:dyDescent="0.25">
      <c r="I342" s="2"/>
      <c r="J342" s="2"/>
    </row>
    <row r="343" spans="9:10" ht="13.2" x14ac:dyDescent="0.25">
      <c r="I343" s="2"/>
      <c r="J343" s="2"/>
    </row>
    <row r="344" spans="9:10" ht="13.2" x14ac:dyDescent="0.25">
      <c r="I344" s="2"/>
      <c r="J344" s="2"/>
    </row>
    <row r="345" spans="9:10" ht="13.2" x14ac:dyDescent="0.25">
      <c r="I345" s="2"/>
      <c r="J345" s="2"/>
    </row>
    <row r="346" spans="9:10" ht="13.2" x14ac:dyDescent="0.25">
      <c r="I346" s="2"/>
      <c r="J346" s="2"/>
    </row>
    <row r="347" spans="9:10" ht="13.2" x14ac:dyDescent="0.25">
      <c r="I347" s="2"/>
      <c r="J347" s="2"/>
    </row>
    <row r="348" spans="9:10" ht="13.2" x14ac:dyDescent="0.25">
      <c r="I348" s="2"/>
      <c r="J348" s="2"/>
    </row>
    <row r="349" spans="9:10" ht="13.2" x14ac:dyDescent="0.25">
      <c r="I349" s="2"/>
      <c r="J349" s="2"/>
    </row>
    <row r="350" spans="9:10" ht="13.2" x14ac:dyDescent="0.25">
      <c r="I350" s="2"/>
      <c r="J350" s="2"/>
    </row>
    <row r="351" spans="9:10" ht="13.2" x14ac:dyDescent="0.25">
      <c r="I351" s="2"/>
      <c r="J351" s="2"/>
    </row>
    <row r="352" spans="9:10" ht="13.2" x14ac:dyDescent="0.25">
      <c r="I352" s="2"/>
      <c r="J352" s="2"/>
    </row>
    <row r="353" spans="9:10" ht="13.2" x14ac:dyDescent="0.25">
      <c r="I353" s="2"/>
      <c r="J353" s="2"/>
    </row>
    <row r="354" spans="9:10" ht="13.2" x14ac:dyDescent="0.25">
      <c r="I354" s="2"/>
      <c r="J354" s="2"/>
    </row>
    <row r="355" spans="9:10" ht="13.2" x14ac:dyDescent="0.25">
      <c r="I355" s="2"/>
      <c r="J355" s="2"/>
    </row>
    <row r="356" spans="9:10" ht="13.2" x14ac:dyDescent="0.25">
      <c r="I356" s="2"/>
      <c r="J356" s="2"/>
    </row>
    <row r="357" spans="9:10" ht="13.2" x14ac:dyDescent="0.25">
      <c r="I357" s="2"/>
      <c r="J357" s="2"/>
    </row>
    <row r="358" spans="9:10" ht="13.2" x14ac:dyDescent="0.25">
      <c r="I358" s="2"/>
      <c r="J358" s="2"/>
    </row>
    <row r="359" spans="9:10" ht="13.2" x14ac:dyDescent="0.25">
      <c r="I359" s="2"/>
      <c r="J359" s="2"/>
    </row>
    <row r="360" spans="9:10" ht="13.2" x14ac:dyDescent="0.25">
      <c r="I360" s="2"/>
      <c r="J360" s="2"/>
    </row>
    <row r="361" spans="9:10" ht="13.2" x14ac:dyDescent="0.25">
      <c r="I361" s="2"/>
      <c r="J361" s="2"/>
    </row>
    <row r="362" spans="9:10" ht="13.2" x14ac:dyDescent="0.25">
      <c r="I362" s="2"/>
      <c r="J362" s="2"/>
    </row>
    <row r="363" spans="9:10" ht="13.2" x14ac:dyDescent="0.25">
      <c r="I363" s="2"/>
      <c r="J363" s="2"/>
    </row>
    <row r="364" spans="9:10" ht="13.2" x14ac:dyDescent="0.25">
      <c r="I364" s="2"/>
      <c r="J364" s="2"/>
    </row>
    <row r="365" spans="9:10" ht="13.2" x14ac:dyDescent="0.25">
      <c r="I365" s="2"/>
      <c r="J365" s="2"/>
    </row>
    <row r="366" spans="9:10" ht="13.2" x14ac:dyDescent="0.25">
      <c r="I366" s="2"/>
      <c r="J366" s="2"/>
    </row>
    <row r="367" spans="9:10" ht="13.2" x14ac:dyDescent="0.25">
      <c r="I367" s="2"/>
      <c r="J367" s="2"/>
    </row>
    <row r="368" spans="9:10" ht="13.2" x14ac:dyDescent="0.25">
      <c r="I368" s="2"/>
      <c r="J368" s="2"/>
    </row>
    <row r="369" spans="9:10" ht="13.2" x14ac:dyDescent="0.25">
      <c r="I369" s="2"/>
      <c r="J369" s="2"/>
    </row>
    <row r="370" spans="9:10" ht="13.2" x14ac:dyDescent="0.25">
      <c r="I370" s="2"/>
      <c r="J370" s="2"/>
    </row>
    <row r="371" spans="9:10" ht="13.2" x14ac:dyDescent="0.25">
      <c r="I371" s="2"/>
      <c r="J371" s="2"/>
    </row>
    <row r="372" spans="9:10" ht="13.2" x14ac:dyDescent="0.25">
      <c r="I372" s="2"/>
      <c r="J372" s="2"/>
    </row>
    <row r="373" spans="9:10" ht="13.2" x14ac:dyDescent="0.25">
      <c r="I373" s="2"/>
      <c r="J373" s="2"/>
    </row>
    <row r="374" spans="9:10" ht="13.2" x14ac:dyDescent="0.25">
      <c r="I374" s="2"/>
      <c r="J374" s="2"/>
    </row>
    <row r="375" spans="9:10" ht="13.2" x14ac:dyDescent="0.25">
      <c r="I375" s="2"/>
      <c r="J375" s="2"/>
    </row>
    <row r="376" spans="9:10" ht="13.2" x14ac:dyDescent="0.25">
      <c r="I376" s="2"/>
      <c r="J376" s="2"/>
    </row>
    <row r="377" spans="9:10" ht="13.2" x14ac:dyDescent="0.25">
      <c r="I377" s="2"/>
      <c r="J377" s="2"/>
    </row>
    <row r="378" spans="9:10" ht="13.2" x14ac:dyDescent="0.25">
      <c r="I378" s="2"/>
      <c r="J378" s="2"/>
    </row>
    <row r="379" spans="9:10" ht="13.2" x14ac:dyDescent="0.25">
      <c r="I379" s="2"/>
      <c r="J379" s="2"/>
    </row>
    <row r="380" spans="9:10" ht="13.2" x14ac:dyDescent="0.25">
      <c r="I380" s="2"/>
      <c r="J380" s="2"/>
    </row>
    <row r="381" spans="9:10" ht="13.2" x14ac:dyDescent="0.25">
      <c r="I381" s="2"/>
      <c r="J381" s="2"/>
    </row>
    <row r="382" spans="9:10" ht="13.2" x14ac:dyDescent="0.25">
      <c r="I382" s="2"/>
      <c r="J382" s="2"/>
    </row>
    <row r="383" spans="9:10" ht="13.2" x14ac:dyDescent="0.25">
      <c r="I383" s="2"/>
      <c r="J383" s="2"/>
    </row>
    <row r="384" spans="9:10" ht="13.2" x14ac:dyDescent="0.25">
      <c r="I384" s="2"/>
      <c r="J384" s="2"/>
    </row>
    <row r="385" spans="9:10" ht="13.2" x14ac:dyDescent="0.25">
      <c r="I385" s="2"/>
      <c r="J385" s="2"/>
    </row>
    <row r="386" spans="9:10" ht="13.2" x14ac:dyDescent="0.25">
      <c r="I386" s="2"/>
      <c r="J386" s="2"/>
    </row>
    <row r="387" spans="9:10" ht="13.2" x14ac:dyDescent="0.25">
      <c r="I387" s="2"/>
      <c r="J387" s="2"/>
    </row>
    <row r="388" spans="9:10" ht="13.2" x14ac:dyDescent="0.25">
      <c r="I388" s="2"/>
      <c r="J388" s="2"/>
    </row>
    <row r="389" spans="9:10" ht="13.2" x14ac:dyDescent="0.25">
      <c r="I389" s="2"/>
      <c r="J389" s="2"/>
    </row>
    <row r="390" spans="9:10" ht="13.2" x14ac:dyDescent="0.25">
      <c r="I390" s="2"/>
      <c r="J390" s="2"/>
    </row>
    <row r="391" spans="9:10" ht="13.2" x14ac:dyDescent="0.25">
      <c r="I391" s="2"/>
      <c r="J391" s="2"/>
    </row>
    <row r="392" spans="9:10" ht="13.2" x14ac:dyDescent="0.25">
      <c r="I392" s="2"/>
      <c r="J392" s="2"/>
    </row>
    <row r="393" spans="9:10" ht="13.2" x14ac:dyDescent="0.25">
      <c r="I393" s="2"/>
      <c r="J393" s="2"/>
    </row>
    <row r="394" spans="9:10" ht="13.2" x14ac:dyDescent="0.25">
      <c r="I394" s="2"/>
      <c r="J394" s="2"/>
    </row>
    <row r="395" spans="9:10" ht="13.2" x14ac:dyDescent="0.25">
      <c r="I395" s="2"/>
      <c r="J395" s="2"/>
    </row>
    <row r="396" spans="9:10" ht="13.2" x14ac:dyDescent="0.25">
      <c r="I396" s="2"/>
      <c r="J396" s="2"/>
    </row>
    <row r="397" spans="9:10" ht="13.2" x14ac:dyDescent="0.25">
      <c r="I397" s="2"/>
      <c r="J397" s="2"/>
    </row>
    <row r="398" spans="9:10" ht="13.2" x14ac:dyDescent="0.25">
      <c r="I398" s="2"/>
      <c r="J398" s="2"/>
    </row>
    <row r="399" spans="9:10" ht="13.2" x14ac:dyDescent="0.25">
      <c r="I399" s="2"/>
      <c r="J399" s="2"/>
    </row>
    <row r="400" spans="9:10" ht="13.2" x14ac:dyDescent="0.25">
      <c r="I400" s="2"/>
      <c r="J400" s="2"/>
    </row>
    <row r="401" spans="9:10" ht="13.2" x14ac:dyDescent="0.25">
      <c r="I401" s="2"/>
      <c r="J401" s="2"/>
    </row>
    <row r="402" spans="9:10" ht="13.2" x14ac:dyDescent="0.25">
      <c r="I402" s="2"/>
      <c r="J402" s="2"/>
    </row>
    <row r="403" spans="9:10" ht="13.2" x14ac:dyDescent="0.25">
      <c r="I403" s="2"/>
      <c r="J403" s="2"/>
    </row>
    <row r="404" spans="9:10" ht="13.2" x14ac:dyDescent="0.25">
      <c r="I404" s="2"/>
      <c r="J404" s="2"/>
    </row>
    <row r="405" spans="9:10" ht="13.2" x14ac:dyDescent="0.25">
      <c r="I405" s="2"/>
      <c r="J405" s="2"/>
    </row>
    <row r="406" spans="9:10" ht="13.2" x14ac:dyDescent="0.25">
      <c r="I406" s="2"/>
      <c r="J406" s="2"/>
    </row>
    <row r="407" spans="9:10" ht="13.2" x14ac:dyDescent="0.25">
      <c r="I407" s="2"/>
      <c r="J407" s="2"/>
    </row>
    <row r="408" spans="9:10" ht="13.2" x14ac:dyDescent="0.25">
      <c r="I408" s="2"/>
      <c r="J408" s="2"/>
    </row>
    <row r="409" spans="9:10" ht="13.2" x14ac:dyDescent="0.25">
      <c r="I409" s="2"/>
      <c r="J409" s="2"/>
    </row>
    <row r="410" spans="9:10" ht="13.2" x14ac:dyDescent="0.25">
      <c r="I410" s="2"/>
      <c r="J410" s="2"/>
    </row>
    <row r="411" spans="9:10" ht="13.2" x14ac:dyDescent="0.25">
      <c r="I411" s="2"/>
      <c r="J411" s="2"/>
    </row>
    <row r="412" spans="9:10" ht="13.2" x14ac:dyDescent="0.25">
      <c r="I412" s="2"/>
      <c r="J412" s="2"/>
    </row>
    <row r="413" spans="9:10" ht="13.2" x14ac:dyDescent="0.25">
      <c r="I413" s="2"/>
      <c r="J413" s="2"/>
    </row>
    <row r="414" spans="9:10" ht="13.2" x14ac:dyDescent="0.25">
      <c r="I414" s="2"/>
      <c r="J414" s="2"/>
    </row>
    <row r="415" spans="9:10" ht="13.2" x14ac:dyDescent="0.25">
      <c r="I415" s="2"/>
      <c r="J415" s="2"/>
    </row>
    <row r="416" spans="9:10" ht="13.2" x14ac:dyDescent="0.25">
      <c r="I416" s="2"/>
      <c r="J416" s="2"/>
    </row>
    <row r="417" spans="9:10" ht="13.2" x14ac:dyDescent="0.25">
      <c r="I417" s="2"/>
      <c r="J417" s="2"/>
    </row>
    <row r="418" spans="9:10" ht="13.2" x14ac:dyDescent="0.25">
      <c r="I418" s="2"/>
      <c r="J418" s="2"/>
    </row>
    <row r="419" spans="9:10" ht="13.2" x14ac:dyDescent="0.25">
      <c r="I419" s="2"/>
      <c r="J419" s="2"/>
    </row>
    <row r="420" spans="9:10" ht="13.2" x14ac:dyDescent="0.25">
      <c r="I420" s="2"/>
      <c r="J420" s="2"/>
    </row>
    <row r="421" spans="9:10" ht="13.2" x14ac:dyDescent="0.25">
      <c r="I421" s="2"/>
      <c r="J421" s="2"/>
    </row>
    <row r="422" spans="9:10" ht="13.2" x14ac:dyDescent="0.25">
      <c r="I422" s="2"/>
      <c r="J422" s="2"/>
    </row>
    <row r="423" spans="9:10" ht="13.2" x14ac:dyDescent="0.25">
      <c r="I423" s="2"/>
      <c r="J423" s="2"/>
    </row>
    <row r="424" spans="9:10" ht="13.2" x14ac:dyDescent="0.25">
      <c r="I424" s="2"/>
      <c r="J424" s="2"/>
    </row>
    <row r="425" spans="9:10" ht="13.2" x14ac:dyDescent="0.25">
      <c r="I425" s="2"/>
      <c r="J425" s="2"/>
    </row>
    <row r="426" spans="9:10" ht="13.2" x14ac:dyDescent="0.25">
      <c r="I426" s="2"/>
      <c r="J426" s="2"/>
    </row>
    <row r="427" spans="9:10" ht="13.2" x14ac:dyDescent="0.25">
      <c r="I427" s="2"/>
      <c r="J427" s="2"/>
    </row>
    <row r="428" spans="9:10" ht="13.2" x14ac:dyDescent="0.25">
      <c r="I428" s="2"/>
      <c r="J428" s="2"/>
    </row>
    <row r="429" spans="9:10" ht="13.2" x14ac:dyDescent="0.25">
      <c r="I429" s="2"/>
      <c r="J429" s="2"/>
    </row>
    <row r="430" spans="9:10" ht="13.2" x14ac:dyDescent="0.25">
      <c r="I430" s="2"/>
      <c r="J430" s="2"/>
    </row>
    <row r="431" spans="9:10" ht="13.2" x14ac:dyDescent="0.25">
      <c r="I431" s="2"/>
      <c r="J431" s="2"/>
    </row>
    <row r="432" spans="9:10" ht="13.2" x14ac:dyDescent="0.25">
      <c r="I432" s="2"/>
      <c r="J432" s="2"/>
    </row>
    <row r="433" spans="9:10" ht="13.2" x14ac:dyDescent="0.25">
      <c r="I433" s="2"/>
      <c r="J433" s="2"/>
    </row>
    <row r="434" spans="9:10" ht="13.2" x14ac:dyDescent="0.25">
      <c r="I434" s="2"/>
      <c r="J434" s="2"/>
    </row>
    <row r="435" spans="9:10" ht="13.2" x14ac:dyDescent="0.25">
      <c r="I435" s="2"/>
      <c r="J435" s="2"/>
    </row>
    <row r="436" spans="9:10" ht="13.2" x14ac:dyDescent="0.25">
      <c r="I436" s="2"/>
      <c r="J436" s="2"/>
    </row>
    <row r="437" spans="9:10" ht="13.2" x14ac:dyDescent="0.25">
      <c r="I437" s="2"/>
      <c r="J437" s="2"/>
    </row>
    <row r="438" spans="9:10" ht="13.2" x14ac:dyDescent="0.25">
      <c r="I438" s="2"/>
      <c r="J438" s="2"/>
    </row>
    <row r="439" spans="9:10" ht="13.2" x14ac:dyDescent="0.25">
      <c r="I439" s="2"/>
      <c r="J439" s="2"/>
    </row>
    <row r="440" spans="9:10" ht="13.2" x14ac:dyDescent="0.25">
      <c r="I440" s="2"/>
      <c r="J440" s="2"/>
    </row>
    <row r="441" spans="9:10" ht="13.2" x14ac:dyDescent="0.25">
      <c r="I441" s="2"/>
      <c r="J441" s="2"/>
    </row>
    <row r="442" spans="9:10" ht="13.2" x14ac:dyDescent="0.25">
      <c r="I442" s="2"/>
      <c r="J442" s="2"/>
    </row>
    <row r="443" spans="9:10" ht="13.2" x14ac:dyDescent="0.25">
      <c r="I443" s="2"/>
      <c r="J443" s="2"/>
    </row>
    <row r="444" spans="9:10" ht="13.2" x14ac:dyDescent="0.25">
      <c r="I444" s="2"/>
      <c r="J444" s="2"/>
    </row>
    <row r="445" spans="9:10" ht="13.2" x14ac:dyDescent="0.25">
      <c r="I445" s="2"/>
      <c r="J445" s="2"/>
    </row>
    <row r="446" spans="9:10" ht="13.2" x14ac:dyDescent="0.25">
      <c r="I446" s="2"/>
      <c r="J446" s="2"/>
    </row>
    <row r="447" spans="9:10" ht="13.2" x14ac:dyDescent="0.25">
      <c r="I447" s="2"/>
      <c r="J447" s="2"/>
    </row>
    <row r="448" spans="9:10" ht="13.2" x14ac:dyDescent="0.25">
      <c r="I448" s="2"/>
      <c r="J448" s="2"/>
    </row>
    <row r="449" spans="9:10" ht="13.2" x14ac:dyDescent="0.25">
      <c r="I449" s="2"/>
      <c r="J449" s="2"/>
    </row>
    <row r="450" spans="9:10" ht="13.2" x14ac:dyDescent="0.25">
      <c r="I450" s="2"/>
      <c r="J450" s="2"/>
    </row>
    <row r="451" spans="9:10" ht="13.2" x14ac:dyDescent="0.25">
      <c r="I451" s="2"/>
      <c r="J451" s="2"/>
    </row>
    <row r="452" spans="9:10" ht="13.2" x14ac:dyDescent="0.25">
      <c r="I452" s="2"/>
      <c r="J452" s="2"/>
    </row>
    <row r="453" spans="9:10" ht="13.2" x14ac:dyDescent="0.25">
      <c r="I453" s="2"/>
      <c r="J453" s="2"/>
    </row>
    <row r="454" spans="9:10" ht="13.2" x14ac:dyDescent="0.25">
      <c r="I454" s="2"/>
      <c r="J454" s="2"/>
    </row>
    <row r="455" spans="9:10" ht="13.2" x14ac:dyDescent="0.25">
      <c r="I455" s="2"/>
      <c r="J455" s="2"/>
    </row>
    <row r="456" spans="9:10" ht="13.2" x14ac:dyDescent="0.25">
      <c r="I456" s="2"/>
      <c r="J456" s="2"/>
    </row>
    <row r="457" spans="9:10" ht="13.2" x14ac:dyDescent="0.25">
      <c r="I457" s="2"/>
      <c r="J457" s="2"/>
    </row>
    <row r="458" spans="9:10" ht="13.2" x14ac:dyDescent="0.25">
      <c r="I458" s="2"/>
      <c r="J458" s="2"/>
    </row>
    <row r="459" spans="9:10" ht="13.2" x14ac:dyDescent="0.25">
      <c r="I459" s="2"/>
      <c r="J459" s="2"/>
    </row>
    <row r="460" spans="9:10" ht="13.2" x14ac:dyDescent="0.25">
      <c r="I460" s="2"/>
      <c r="J460" s="2"/>
    </row>
    <row r="461" spans="9:10" ht="13.2" x14ac:dyDescent="0.25">
      <c r="I461" s="2"/>
      <c r="J461" s="2"/>
    </row>
    <row r="462" spans="9:10" ht="13.2" x14ac:dyDescent="0.25">
      <c r="I462" s="2"/>
      <c r="J462" s="2"/>
    </row>
    <row r="463" spans="9:10" ht="13.2" x14ac:dyDescent="0.25">
      <c r="I463" s="2"/>
      <c r="J463" s="2"/>
    </row>
    <row r="464" spans="9:10" ht="13.2" x14ac:dyDescent="0.25">
      <c r="I464" s="2"/>
      <c r="J464" s="2"/>
    </row>
    <row r="465" spans="9:10" ht="13.2" x14ac:dyDescent="0.25">
      <c r="I465" s="2"/>
      <c r="J465" s="2"/>
    </row>
    <row r="466" spans="9:10" ht="13.2" x14ac:dyDescent="0.25">
      <c r="I466" s="2"/>
      <c r="J466" s="2"/>
    </row>
    <row r="467" spans="9:10" ht="13.2" x14ac:dyDescent="0.25">
      <c r="I467" s="2"/>
      <c r="J467" s="2"/>
    </row>
    <row r="468" spans="9:10" ht="13.2" x14ac:dyDescent="0.25">
      <c r="I468" s="2"/>
      <c r="J468" s="2"/>
    </row>
    <row r="469" spans="9:10" ht="13.2" x14ac:dyDescent="0.25">
      <c r="I469" s="2"/>
      <c r="J469" s="2"/>
    </row>
    <row r="470" spans="9:10" ht="13.2" x14ac:dyDescent="0.25">
      <c r="I470" s="2"/>
      <c r="J470" s="2"/>
    </row>
    <row r="471" spans="9:10" ht="13.2" x14ac:dyDescent="0.25">
      <c r="I471" s="2"/>
      <c r="J471" s="2"/>
    </row>
    <row r="472" spans="9:10" ht="13.2" x14ac:dyDescent="0.25">
      <c r="I472" s="2"/>
      <c r="J472" s="2"/>
    </row>
    <row r="473" spans="9:10" ht="13.2" x14ac:dyDescent="0.25">
      <c r="I473" s="2"/>
      <c r="J473" s="2"/>
    </row>
    <row r="474" spans="9:10" ht="13.2" x14ac:dyDescent="0.25">
      <c r="I474" s="2"/>
      <c r="J474" s="2"/>
    </row>
    <row r="475" spans="9:10" ht="13.2" x14ac:dyDescent="0.25">
      <c r="I475" s="2"/>
      <c r="J475" s="2"/>
    </row>
    <row r="476" spans="9:10" ht="13.2" x14ac:dyDescent="0.25">
      <c r="I476" s="2"/>
      <c r="J476" s="2"/>
    </row>
    <row r="477" spans="9:10" ht="13.2" x14ac:dyDescent="0.25">
      <c r="I477" s="2"/>
      <c r="J477" s="2"/>
    </row>
    <row r="478" spans="9:10" ht="13.2" x14ac:dyDescent="0.25">
      <c r="I478" s="2"/>
      <c r="J478" s="2"/>
    </row>
    <row r="479" spans="9:10" ht="13.2" x14ac:dyDescent="0.25">
      <c r="I479" s="2"/>
      <c r="J479" s="2"/>
    </row>
    <row r="480" spans="9:10" ht="13.2" x14ac:dyDescent="0.25">
      <c r="I480" s="2"/>
      <c r="J480" s="2"/>
    </row>
    <row r="481" spans="9:10" ht="13.2" x14ac:dyDescent="0.25">
      <c r="I481" s="2"/>
      <c r="J481" s="2"/>
    </row>
    <row r="482" spans="9:10" ht="13.2" x14ac:dyDescent="0.25">
      <c r="I482" s="2"/>
      <c r="J482" s="2"/>
    </row>
    <row r="483" spans="9:10" ht="13.2" x14ac:dyDescent="0.25">
      <c r="I483" s="2"/>
      <c r="J483" s="2"/>
    </row>
    <row r="484" spans="9:10" ht="13.2" x14ac:dyDescent="0.25">
      <c r="I484" s="2"/>
      <c r="J484" s="2"/>
    </row>
    <row r="485" spans="9:10" ht="13.2" x14ac:dyDescent="0.25">
      <c r="I485" s="2"/>
      <c r="J485" s="2"/>
    </row>
    <row r="486" spans="9:10" ht="13.2" x14ac:dyDescent="0.25">
      <c r="I486" s="2"/>
      <c r="J486" s="2"/>
    </row>
    <row r="487" spans="9:10" ht="13.2" x14ac:dyDescent="0.25">
      <c r="I487" s="2"/>
      <c r="J487" s="2"/>
    </row>
    <row r="488" spans="9:10" ht="13.2" x14ac:dyDescent="0.25">
      <c r="I488" s="2"/>
      <c r="J488" s="2"/>
    </row>
    <row r="489" spans="9:10" ht="13.2" x14ac:dyDescent="0.25">
      <c r="I489" s="2"/>
      <c r="J489" s="2"/>
    </row>
    <row r="490" spans="9:10" ht="13.2" x14ac:dyDescent="0.25">
      <c r="I490" s="2"/>
      <c r="J490" s="2"/>
    </row>
    <row r="491" spans="9:10" ht="13.2" x14ac:dyDescent="0.25">
      <c r="I491" s="2"/>
      <c r="J491" s="2"/>
    </row>
    <row r="492" spans="9:10" ht="13.2" x14ac:dyDescent="0.25">
      <c r="I492" s="2"/>
      <c r="J492" s="2"/>
    </row>
    <row r="493" spans="9:10" ht="13.2" x14ac:dyDescent="0.25">
      <c r="I493" s="2"/>
      <c r="J493" s="2"/>
    </row>
    <row r="494" spans="9:10" ht="13.2" x14ac:dyDescent="0.25">
      <c r="I494" s="2"/>
      <c r="J494" s="2"/>
    </row>
    <row r="495" spans="9:10" ht="13.2" x14ac:dyDescent="0.25">
      <c r="I495" s="2"/>
      <c r="J495" s="2"/>
    </row>
    <row r="496" spans="9:10" ht="13.2" x14ac:dyDescent="0.25">
      <c r="I496" s="2"/>
      <c r="J496" s="2"/>
    </row>
    <row r="497" spans="9:10" ht="13.2" x14ac:dyDescent="0.25">
      <c r="I497" s="2"/>
      <c r="J497" s="2"/>
    </row>
    <row r="498" spans="9:10" ht="13.2" x14ac:dyDescent="0.25">
      <c r="I498" s="2"/>
      <c r="J498" s="2"/>
    </row>
    <row r="499" spans="9:10" ht="13.2" x14ac:dyDescent="0.25">
      <c r="I499" s="2"/>
      <c r="J499" s="2"/>
    </row>
    <row r="500" spans="9:10" ht="13.2" x14ac:dyDescent="0.25">
      <c r="I500" s="2"/>
      <c r="J500" s="2"/>
    </row>
    <row r="501" spans="9:10" ht="13.2" x14ac:dyDescent="0.25">
      <c r="I501" s="2"/>
      <c r="J501" s="2"/>
    </row>
    <row r="502" spans="9:10" ht="13.2" x14ac:dyDescent="0.25">
      <c r="I502" s="2"/>
      <c r="J502" s="2"/>
    </row>
    <row r="503" spans="9:10" ht="13.2" x14ac:dyDescent="0.25">
      <c r="I503" s="2"/>
      <c r="J503" s="2"/>
    </row>
    <row r="504" spans="9:10" ht="13.2" x14ac:dyDescent="0.25">
      <c r="I504" s="2"/>
      <c r="J504" s="2"/>
    </row>
    <row r="505" spans="9:10" ht="13.2" x14ac:dyDescent="0.25">
      <c r="I505" s="2"/>
      <c r="J505" s="2"/>
    </row>
    <row r="506" spans="9:10" ht="13.2" x14ac:dyDescent="0.25">
      <c r="I506" s="2"/>
      <c r="J506" s="2"/>
    </row>
    <row r="507" spans="9:10" ht="13.2" x14ac:dyDescent="0.25">
      <c r="I507" s="2"/>
      <c r="J507" s="2"/>
    </row>
    <row r="508" spans="9:10" ht="13.2" x14ac:dyDescent="0.25">
      <c r="I508" s="2"/>
      <c r="J508" s="2"/>
    </row>
    <row r="509" spans="9:10" ht="13.2" x14ac:dyDescent="0.25">
      <c r="I509" s="2"/>
      <c r="J509" s="2"/>
    </row>
    <row r="510" spans="9:10" ht="13.2" x14ac:dyDescent="0.25">
      <c r="I510" s="2"/>
      <c r="J510" s="2"/>
    </row>
    <row r="511" spans="9:10" ht="13.2" x14ac:dyDescent="0.25">
      <c r="I511" s="2"/>
      <c r="J511" s="2"/>
    </row>
    <row r="512" spans="9:10" ht="13.2" x14ac:dyDescent="0.25">
      <c r="I512" s="2"/>
      <c r="J512" s="2"/>
    </row>
    <row r="513" spans="9:10" ht="13.2" x14ac:dyDescent="0.25">
      <c r="I513" s="2"/>
      <c r="J513" s="2"/>
    </row>
    <row r="514" spans="9:10" ht="13.2" x14ac:dyDescent="0.25">
      <c r="I514" s="2"/>
      <c r="J514" s="2"/>
    </row>
    <row r="515" spans="9:10" ht="13.2" x14ac:dyDescent="0.25">
      <c r="I515" s="2"/>
      <c r="J515" s="2"/>
    </row>
    <row r="516" spans="9:10" ht="13.2" x14ac:dyDescent="0.25">
      <c r="I516" s="2"/>
      <c r="J516" s="2"/>
    </row>
    <row r="517" spans="9:10" ht="13.2" x14ac:dyDescent="0.25">
      <c r="I517" s="2"/>
      <c r="J517" s="2"/>
    </row>
    <row r="518" spans="9:10" ht="13.2" x14ac:dyDescent="0.25">
      <c r="I518" s="2"/>
      <c r="J518" s="2"/>
    </row>
    <row r="519" spans="9:10" ht="13.2" x14ac:dyDescent="0.25">
      <c r="I519" s="2"/>
      <c r="J519" s="2"/>
    </row>
    <row r="520" spans="9:10" ht="13.2" x14ac:dyDescent="0.25">
      <c r="I520" s="2"/>
      <c r="J520" s="2"/>
    </row>
    <row r="521" spans="9:10" ht="13.2" x14ac:dyDescent="0.25">
      <c r="I521" s="2"/>
      <c r="J521" s="2"/>
    </row>
    <row r="522" spans="9:10" ht="13.2" x14ac:dyDescent="0.25">
      <c r="I522" s="2"/>
      <c r="J522" s="2"/>
    </row>
    <row r="523" spans="9:10" ht="13.2" x14ac:dyDescent="0.25">
      <c r="I523" s="2"/>
      <c r="J523" s="2"/>
    </row>
    <row r="524" spans="9:10" ht="13.2" x14ac:dyDescent="0.25">
      <c r="I524" s="2"/>
      <c r="J524" s="2"/>
    </row>
    <row r="525" spans="9:10" ht="13.2" x14ac:dyDescent="0.25">
      <c r="I525" s="2"/>
      <c r="J525" s="2"/>
    </row>
    <row r="526" spans="9:10" ht="13.2" x14ac:dyDescent="0.25">
      <c r="I526" s="2"/>
      <c r="J526" s="2"/>
    </row>
    <row r="527" spans="9:10" ht="13.2" x14ac:dyDescent="0.25">
      <c r="I527" s="2"/>
      <c r="J527" s="2"/>
    </row>
    <row r="528" spans="9:10" ht="13.2" x14ac:dyDescent="0.25">
      <c r="I528" s="2"/>
      <c r="J528" s="2"/>
    </row>
    <row r="529" spans="9:10" ht="13.2" x14ac:dyDescent="0.25">
      <c r="I529" s="2"/>
      <c r="J529" s="2"/>
    </row>
    <row r="530" spans="9:10" ht="13.2" x14ac:dyDescent="0.25">
      <c r="I530" s="2"/>
      <c r="J530" s="2"/>
    </row>
    <row r="531" spans="9:10" ht="13.2" x14ac:dyDescent="0.25">
      <c r="I531" s="2"/>
      <c r="J531" s="2"/>
    </row>
    <row r="532" spans="9:10" ht="13.2" x14ac:dyDescent="0.25">
      <c r="I532" s="2"/>
      <c r="J532" s="2"/>
    </row>
    <row r="533" spans="9:10" ht="13.2" x14ac:dyDescent="0.25">
      <c r="I533" s="2"/>
      <c r="J533" s="2"/>
    </row>
    <row r="534" spans="9:10" ht="13.2" x14ac:dyDescent="0.25">
      <c r="I534" s="2"/>
      <c r="J534" s="2"/>
    </row>
    <row r="535" spans="9:10" ht="13.2" x14ac:dyDescent="0.25">
      <c r="I535" s="2"/>
      <c r="J535" s="2"/>
    </row>
    <row r="536" spans="9:10" ht="13.2" x14ac:dyDescent="0.25">
      <c r="I536" s="2"/>
      <c r="J536" s="2"/>
    </row>
    <row r="537" spans="9:10" ht="13.2" x14ac:dyDescent="0.25">
      <c r="I537" s="2"/>
      <c r="J537" s="2"/>
    </row>
    <row r="538" spans="9:10" ht="13.2" x14ac:dyDescent="0.25">
      <c r="I538" s="2"/>
      <c r="J538" s="2"/>
    </row>
    <row r="539" spans="9:10" ht="13.2" x14ac:dyDescent="0.25">
      <c r="I539" s="2"/>
      <c r="J539" s="2"/>
    </row>
    <row r="540" spans="9:10" ht="13.2" x14ac:dyDescent="0.25">
      <c r="I540" s="2"/>
      <c r="J540" s="2"/>
    </row>
    <row r="541" spans="9:10" ht="13.2" x14ac:dyDescent="0.25">
      <c r="I541" s="2"/>
      <c r="J541" s="2"/>
    </row>
    <row r="542" spans="9:10" ht="13.2" x14ac:dyDescent="0.25">
      <c r="I542" s="2"/>
      <c r="J542" s="2"/>
    </row>
    <row r="543" spans="9:10" ht="13.2" x14ac:dyDescent="0.25">
      <c r="I543" s="2"/>
      <c r="J543" s="2"/>
    </row>
    <row r="544" spans="9:10" ht="13.2" x14ac:dyDescent="0.25">
      <c r="I544" s="2"/>
      <c r="J544" s="2"/>
    </row>
    <row r="545" spans="9:10" ht="13.2" x14ac:dyDescent="0.25">
      <c r="I545" s="2"/>
      <c r="J545" s="2"/>
    </row>
    <row r="546" spans="9:10" ht="13.2" x14ac:dyDescent="0.25">
      <c r="I546" s="2"/>
      <c r="J546" s="2"/>
    </row>
    <row r="547" spans="9:10" ht="13.2" x14ac:dyDescent="0.25">
      <c r="I547" s="2"/>
      <c r="J547" s="2"/>
    </row>
    <row r="548" spans="9:10" ht="13.2" x14ac:dyDescent="0.25">
      <c r="I548" s="2"/>
      <c r="J548" s="2"/>
    </row>
    <row r="549" spans="9:10" ht="13.2" x14ac:dyDescent="0.25">
      <c r="I549" s="2"/>
      <c r="J549" s="2"/>
    </row>
    <row r="550" spans="9:10" ht="13.2" x14ac:dyDescent="0.25">
      <c r="I550" s="2"/>
      <c r="J550" s="2"/>
    </row>
    <row r="551" spans="9:10" ht="13.2" x14ac:dyDescent="0.25">
      <c r="I551" s="2"/>
      <c r="J551" s="2"/>
    </row>
    <row r="552" spans="9:10" ht="13.2" x14ac:dyDescent="0.25">
      <c r="I552" s="2"/>
      <c r="J552" s="2"/>
    </row>
    <row r="553" spans="9:10" ht="13.2" x14ac:dyDescent="0.25">
      <c r="I553" s="2"/>
      <c r="J553" s="2"/>
    </row>
    <row r="554" spans="9:10" ht="13.2" x14ac:dyDescent="0.25">
      <c r="I554" s="2"/>
      <c r="J554" s="2"/>
    </row>
    <row r="555" spans="9:10" ht="13.2" x14ac:dyDescent="0.25">
      <c r="I555" s="2"/>
      <c r="J555" s="2"/>
    </row>
    <row r="556" spans="9:10" ht="13.2" x14ac:dyDescent="0.25">
      <c r="I556" s="2"/>
      <c r="J556" s="2"/>
    </row>
    <row r="557" spans="9:10" ht="13.2" x14ac:dyDescent="0.25">
      <c r="I557" s="2"/>
      <c r="J557" s="2"/>
    </row>
    <row r="558" spans="9:10" ht="13.2" x14ac:dyDescent="0.25">
      <c r="I558" s="2"/>
      <c r="J558" s="2"/>
    </row>
    <row r="559" spans="9:10" ht="13.2" x14ac:dyDescent="0.25">
      <c r="I559" s="2"/>
      <c r="J559" s="2"/>
    </row>
    <row r="560" spans="9:10" ht="13.2" x14ac:dyDescent="0.25">
      <c r="I560" s="2"/>
      <c r="J560" s="2"/>
    </row>
    <row r="561" spans="9:10" ht="13.2" x14ac:dyDescent="0.25">
      <c r="I561" s="2"/>
      <c r="J561" s="2"/>
    </row>
    <row r="562" spans="9:10" ht="13.2" x14ac:dyDescent="0.25">
      <c r="I562" s="2"/>
      <c r="J562" s="2"/>
    </row>
    <row r="563" spans="9:10" ht="13.2" x14ac:dyDescent="0.25">
      <c r="I563" s="2"/>
      <c r="J563" s="2"/>
    </row>
    <row r="564" spans="9:10" ht="13.2" x14ac:dyDescent="0.25">
      <c r="I564" s="2"/>
      <c r="J564" s="2"/>
    </row>
    <row r="565" spans="9:10" ht="13.2" x14ac:dyDescent="0.25">
      <c r="I565" s="2"/>
      <c r="J565" s="2"/>
    </row>
    <row r="566" spans="9:10" ht="13.2" x14ac:dyDescent="0.25">
      <c r="I566" s="2"/>
      <c r="J566" s="2"/>
    </row>
    <row r="567" spans="9:10" ht="13.2" x14ac:dyDescent="0.25">
      <c r="I567" s="2"/>
      <c r="J567" s="2"/>
    </row>
    <row r="568" spans="9:10" ht="13.2" x14ac:dyDescent="0.25">
      <c r="I568" s="2"/>
      <c r="J568" s="2"/>
    </row>
    <row r="569" spans="9:10" ht="13.2" x14ac:dyDescent="0.25">
      <c r="I569" s="2"/>
      <c r="J569" s="2"/>
    </row>
    <row r="570" spans="9:10" ht="13.2" x14ac:dyDescent="0.25">
      <c r="I570" s="2"/>
      <c r="J570" s="2"/>
    </row>
    <row r="571" spans="9:10" ht="13.2" x14ac:dyDescent="0.25">
      <c r="I571" s="2"/>
      <c r="J571" s="2"/>
    </row>
    <row r="572" spans="9:10" ht="13.2" x14ac:dyDescent="0.25">
      <c r="I572" s="2"/>
      <c r="J572" s="2"/>
    </row>
    <row r="573" spans="9:10" ht="13.2" x14ac:dyDescent="0.25">
      <c r="I573" s="2"/>
      <c r="J573" s="2"/>
    </row>
    <row r="574" spans="9:10" ht="13.2" x14ac:dyDescent="0.25">
      <c r="I574" s="2"/>
      <c r="J574" s="2"/>
    </row>
    <row r="575" spans="9:10" ht="13.2" x14ac:dyDescent="0.25">
      <c r="I575" s="2"/>
      <c r="J575" s="2"/>
    </row>
    <row r="576" spans="9:10" ht="13.2" x14ac:dyDescent="0.25">
      <c r="I576" s="2"/>
      <c r="J576" s="2"/>
    </row>
    <row r="577" spans="9:10" ht="13.2" x14ac:dyDescent="0.25">
      <c r="I577" s="2"/>
      <c r="J577" s="2"/>
    </row>
    <row r="578" spans="9:10" ht="13.2" x14ac:dyDescent="0.25">
      <c r="I578" s="2"/>
      <c r="J578" s="2"/>
    </row>
    <row r="579" spans="9:10" ht="13.2" x14ac:dyDescent="0.25">
      <c r="I579" s="2"/>
      <c r="J579" s="2"/>
    </row>
    <row r="580" spans="9:10" ht="13.2" x14ac:dyDescent="0.25">
      <c r="I580" s="2"/>
      <c r="J580" s="2"/>
    </row>
    <row r="581" spans="9:10" ht="13.2" x14ac:dyDescent="0.25">
      <c r="I581" s="2"/>
      <c r="J581" s="2"/>
    </row>
    <row r="582" spans="9:10" ht="13.2" x14ac:dyDescent="0.25">
      <c r="I582" s="2"/>
      <c r="J582" s="2"/>
    </row>
    <row r="583" spans="9:10" ht="13.2" x14ac:dyDescent="0.25">
      <c r="I583" s="2"/>
      <c r="J583" s="2"/>
    </row>
    <row r="584" spans="9:10" ht="13.2" x14ac:dyDescent="0.25">
      <c r="I584" s="2"/>
      <c r="J584" s="2"/>
    </row>
    <row r="585" spans="9:10" ht="13.2" x14ac:dyDescent="0.25">
      <c r="I585" s="2"/>
      <c r="J585" s="2"/>
    </row>
    <row r="586" spans="9:10" ht="13.2" x14ac:dyDescent="0.25">
      <c r="I586" s="2"/>
      <c r="J586" s="2"/>
    </row>
    <row r="587" spans="9:10" ht="13.2" x14ac:dyDescent="0.25">
      <c r="I587" s="2"/>
      <c r="J587" s="2"/>
    </row>
    <row r="588" spans="9:10" ht="13.2" x14ac:dyDescent="0.25">
      <c r="I588" s="2"/>
      <c r="J588" s="2"/>
    </row>
    <row r="589" spans="9:10" ht="13.2" x14ac:dyDescent="0.25">
      <c r="I589" s="2"/>
      <c r="J589" s="2"/>
    </row>
    <row r="590" spans="9:10" ht="13.2" x14ac:dyDescent="0.25">
      <c r="I590" s="2"/>
      <c r="J590" s="2"/>
    </row>
    <row r="591" spans="9:10" ht="13.2" x14ac:dyDescent="0.25">
      <c r="I591" s="2"/>
      <c r="J591" s="2"/>
    </row>
    <row r="592" spans="9:10" ht="13.2" x14ac:dyDescent="0.25">
      <c r="I592" s="2"/>
      <c r="J592" s="2"/>
    </row>
    <row r="593" spans="9:10" ht="13.2" x14ac:dyDescent="0.25">
      <c r="I593" s="2"/>
      <c r="J593" s="2"/>
    </row>
    <row r="594" spans="9:10" ht="13.2" x14ac:dyDescent="0.25">
      <c r="I594" s="2"/>
      <c r="J594" s="2"/>
    </row>
    <row r="595" spans="9:10" ht="13.2" x14ac:dyDescent="0.25">
      <c r="I595" s="2"/>
      <c r="J595" s="2"/>
    </row>
    <row r="596" spans="9:10" ht="13.2" x14ac:dyDescent="0.25">
      <c r="I596" s="2"/>
      <c r="J596" s="2"/>
    </row>
    <row r="597" spans="9:10" ht="13.2" x14ac:dyDescent="0.25">
      <c r="I597" s="2"/>
      <c r="J597" s="2"/>
    </row>
    <row r="598" spans="9:10" ht="13.2" x14ac:dyDescent="0.25">
      <c r="I598" s="2"/>
      <c r="J598" s="2"/>
    </row>
    <row r="599" spans="9:10" ht="13.2" x14ac:dyDescent="0.25">
      <c r="I599" s="2"/>
      <c r="J599" s="2"/>
    </row>
    <row r="600" spans="9:10" ht="13.2" x14ac:dyDescent="0.25">
      <c r="I600" s="2"/>
      <c r="J600" s="2"/>
    </row>
    <row r="601" spans="9:10" ht="13.2" x14ac:dyDescent="0.25">
      <c r="I601" s="2"/>
      <c r="J601" s="2"/>
    </row>
    <row r="602" spans="9:10" ht="13.2" x14ac:dyDescent="0.25">
      <c r="I602" s="2"/>
      <c r="J602" s="2"/>
    </row>
    <row r="603" spans="9:10" ht="13.2" x14ac:dyDescent="0.25">
      <c r="I603" s="2"/>
      <c r="J603" s="2"/>
    </row>
    <row r="604" spans="9:10" ht="13.2" x14ac:dyDescent="0.25">
      <c r="I604" s="2"/>
      <c r="J604" s="2"/>
    </row>
    <row r="605" spans="9:10" ht="13.2" x14ac:dyDescent="0.25">
      <c r="I605" s="2"/>
      <c r="J605" s="2"/>
    </row>
    <row r="606" spans="9:10" ht="13.2" x14ac:dyDescent="0.25">
      <c r="I606" s="2"/>
      <c r="J606" s="2"/>
    </row>
    <row r="607" spans="9:10" ht="13.2" x14ac:dyDescent="0.25">
      <c r="I607" s="2"/>
      <c r="J607" s="2"/>
    </row>
    <row r="608" spans="9:10" ht="13.2" x14ac:dyDescent="0.25">
      <c r="I608" s="2"/>
      <c r="J608" s="2"/>
    </row>
    <row r="609" spans="9:10" ht="13.2" x14ac:dyDescent="0.25">
      <c r="I609" s="2"/>
      <c r="J609" s="2"/>
    </row>
    <row r="610" spans="9:10" ht="13.2" x14ac:dyDescent="0.25">
      <c r="I610" s="2"/>
      <c r="J610" s="2"/>
    </row>
    <row r="611" spans="9:10" ht="13.2" x14ac:dyDescent="0.25">
      <c r="I611" s="2"/>
      <c r="J611" s="2"/>
    </row>
    <row r="612" spans="9:10" ht="13.2" x14ac:dyDescent="0.25">
      <c r="I612" s="2"/>
      <c r="J612" s="2"/>
    </row>
    <row r="613" spans="9:10" ht="13.2" x14ac:dyDescent="0.25">
      <c r="I613" s="2"/>
      <c r="J613" s="2"/>
    </row>
    <row r="614" spans="9:10" ht="13.2" x14ac:dyDescent="0.25">
      <c r="I614" s="2"/>
      <c r="J614" s="2"/>
    </row>
    <row r="615" spans="9:10" ht="13.2" x14ac:dyDescent="0.25">
      <c r="I615" s="2"/>
      <c r="J615" s="2"/>
    </row>
    <row r="616" spans="9:10" ht="13.2" x14ac:dyDescent="0.25">
      <c r="I616" s="2"/>
      <c r="J616" s="2"/>
    </row>
    <row r="617" spans="9:10" ht="13.2" x14ac:dyDescent="0.25">
      <c r="I617" s="2"/>
      <c r="J617" s="2"/>
    </row>
    <row r="618" spans="9:10" ht="13.2" x14ac:dyDescent="0.25">
      <c r="I618" s="2"/>
      <c r="J618" s="2"/>
    </row>
    <row r="619" spans="9:10" ht="13.2" x14ac:dyDescent="0.25">
      <c r="I619" s="2"/>
      <c r="J619" s="2"/>
    </row>
    <row r="620" spans="9:10" ht="13.2" x14ac:dyDescent="0.25">
      <c r="I620" s="2"/>
      <c r="J620" s="2"/>
    </row>
    <row r="621" spans="9:10" ht="13.2" x14ac:dyDescent="0.25">
      <c r="I621" s="2"/>
      <c r="J621" s="2"/>
    </row>
    <row r="622" spans="9:10" ht="13.2" x14ac:dyDescent="0.25">
      <c r="I622" s="2"/>
      <c r="J622" s="2"/>
    </row>
    <row r="623" spans="9:10" ht="13.2" x14ac:dyDescent="0.25">
      <c r="I623" s="2"/>
      <c r="J623" s="2"/>
    </row>
    <row r="624" spans="9:10" ht="13.2" x14ac:dyDescent="0.25">
      <c r="I624" s="2"/>
      <c r="J624" s="2"/>
    </row>
    <row r="625" spans="9:10" ht="13.2" x14ac:dyDescent="0.25">
      <c r="I625" s="2"/>
      <c r="J625" s="2"/>
    </row>
    <row r="626" spans="9:10" ht="13.2" x14ac:dyDescent="0.25">
      <c r="I626" s="2"/>
      <c r="J626" s="2"/>
    </row>
    <row r="627" spans="9:10" ht="13.2" x14ac:dyDescent="0.25">
      <c r="I627" s="2"/>
      <c r="J627" s="2"/>
    </row>
    <row r="628" spans="9:10" ht="13.2" x14ac:dyDescent="0.25">
      <c r="I628" s="2"/>
      <c r="J628" s="2"/>
    </row>
    <row r="629" spans="9:10" ht="13.2" x14ac:dyDescent="0.25">
      <c r="I629" s="2"/>
      <c r="J629" s="2"/>
    </row>
    <row r="630" spans="9:10" ht="13.2" x14ac:dyDescent="0.25">
      <c r="I630" s="2"/>
      <c r="J630" s="2"/>
    </row>
    <row r="631" spans="9:10" ht="13.2" x14ac:dyDescent="0.25">
      <c r="I631" s="2"/>
      <c r="J631" s="2"/>
    </row>
    <row r="632" spans="9:10" ht="13.2" x14ac:dyDescent="0.25">
      <c r="I632" s="2"/>
      <c r="J632" s="2"/>
    </row>
    <row r="633" spans="9:10" ht="13.2" x14ac:dyDescent="0.25">
      <c r="I633" s="2"/>
      <c r="J633" s="2"/>
    </row>
    <row r="634" spans="9:10" ht="13.2" x14ac:dyDescent="0.25">
      <c r="I634" s="2"/>
      <c r="J634" s="2"/>
    </row>
    <row r="635" spans="9:10" ht="13.2" x14ac:dyDescent="0.25">
      <c r="I635" s="2"/>
      <c r="J635" s="2"/>
    </row>
    <row r="636" spans="9:10" ht="13.2" x14ac:dyDescent="0.25">
      <c r="I636" s="2"/>
      <c r="J636" s="2"/>
    </row>
    <row r="637" spans="9:10" ht="13.2" x14ac:dyDescent="0.25">
      <c r="I637" s="2"/>
      <c r="J637" s="2"/>
    </row>
    <row r="638" spans="9:10" ht="13.2" x14ac:dyDescent="0.25">
      <c r="I638" s="2"/>
      <c r="J638" s="2"/>
    </row>
    <row r="639" spans="9:10" ht="13.2" x14ac:dyDescent="0.25">
      <c r="I639" s="2"/>
      <c r="J639" s="2"/>
    </row>
    <row r="640" spans="9:10" ht="13.2" x14ac:dyDescent="0.25">
      <c r="I640" s="2"/>
      <c r="J640" s="2"/>
    </row>
    <row r="641" spans="9:10" ht="13.2" x14ac:dyDescent="0.25">
      <c r="I641" s="2"/>
      <c r="J641" s="2"/>
    </row>
    <row r="642" spans="9:10" ht="13.2" x14ac:dyDescent="0.25">
      <c r="I642" s="2"/>
      <c r="J642" s="2"/>
    </row>
    <row r="643" spans="9:10" ht="13.2" x14ac:dyDescent="0.25">
      <c r="I643" s="2"/>
      <c r="J643" s="2"/>
    </row>
    <row r="644" spans="9:10" ht="13.2" x14ac:dyDescent="0.25">
      <c r="I644" s="2"/>
      <c r="J644" s="2"/>
    </row>
    <row r="645" spans="9:10" ht="13.2" x14ac:dyDescent="0.25">
      <c r="I645" s="2"/>
      <c r="J645" s="2"/>
    </row>
    <row r="646" spans="9:10" ht="13.2" x14ac:dyDescent="0.25">
      <c r="I646" s="2"/>
      <c r="J646" s="2"/>
    </row>
    <row r="647" spans="9:10" ht="13.2" x14ac:dyDescent="0.25">
      <c r="I647" s="2"/>
      <c r="J647" s="2"/>
    </row>
    <row r="648" spans="9:10" ht="13.2" x14ac:dyDescent="0.25">
      <c r="I648" s="2"/>
      <c r="J648" s="2"/>
    </row>
    <row r="649" spans="9:10" ht="13.2" x14ac:dyDescent="0.25">
      <c r="I649" s="2"/>
      <c r="J649" s="2"/>
    </row>
    <row r="650" spans="9:10" ht="13.2" x14ac:dyDescent="0.25">
      <c r="I650" s="2"/>
      <c r="J650" s="2"/>
    </row>
    <row r="651" spans="9:10" ht="13.2" x14ac:dyDescent="0.25">
      <c r="I651" s="2"/>
      <c r="J651" s="2"/>
    </row>
    <row r="652" spans="9:10" ht="13.2" x14ac:dyDescent="0.25">
      <c r="I652" s="2"/>
      <c r="J652" s="2"/>
    </row>
    <row r="653" spans="9:10" ht="13.2" x14ac:dyDescent="0.25">
      <c r="I653" s="2"/>
      <c r="J653" s="2"/>
    </row>
    <row r="654" spans="9:10" ht="13.2" x14ac:dyDescent="0.25">
      <c r="I654" s="2"/>
      <c r="J654" s="2"/>
    </row>
    <row r="655" spans="9:10" ht="13.2" x14ac:dyDescent="0.25">
      <c r="I655" s="2"/>
      <c r="J655" s="2"/>
    </row>
    <row r="656" spans="9:10" ht="13.2" x14ac:dyDescent="0.25">
      <c r="I656" s="2"/>
      <c r="J656" s="2"/>
    </row>
    <row r="657" spans="9:10" ht="13.2" x14ac:dyDescent="0.25">
      <c r="I657" s="2"/>
      <c r="J657" s="2"/>
    </row>
    <row r="658" spans="9:10" ht="13.2" x14ac:dyDescent="0.25">
      <c r="I658" s="2"/>
      <c r="J658" s="2"/>
    </row>
    <row r="659" spans="9:10" ht="13.2" x14ac:dyDescent="0.25">
      <c r="I659" s="2"/>
      <c r="J659" s="2"/>
    </row>
    <row r="660" spans="9:10" ht="13.2" x14ac:dyDescent="0.25">
      <c r="I660" s="2"/>
      <c r="J660" s="2"/>
    </row>
    <row r="661" spans="9:10" ht="13.2" x14ac:dyDescent="0.25">
      <c r="I661" s="2"/>
      <c r="J661" s="2"/>
    </row>
    <row r="662" spans="9:10" ht="13.2" x14ac:dyDescent="0.25">
      <c r="I662" s="2"/>
      <c r="J662" s="2"/>
    </row>
    <row r="663" spans="9:10" ht="13.2" x14ac:dyDescent="0.25">
      <c r="I663" s="2"/>
      <c r="J663" s="2"/>
    </row>
    <row r="664" spans="9:10" ht="13.2" x14ac:dyDescent="0.25">
      <c r="I664" s="2"/>
      <c r="J664" s="2"/>
    </row>
    <row r="665" spans="9:10" ht="13.2" x14ac:dyDescent="0.25">
      <c r="I665" s="2"/>
      <c r="J665" s="2"/>
    </row>
    <row r="666" spans="9:10" ht="13.2" x14ac:dyDescent="0.25">
      <c r="I666" s="2"/>
      <c r="J666" s="2"/>
    </row>
    <row r="667" spans="9:10" ht="13.2" x14ac:dyDescent="0.25">
      <c r="I667" s="2"/>
      <c r="J667" s="2"/>
    </row>
    <row r="668" spans="9:10" ht="13.2" x14ac:dyDescent="0.25">
      <c r="I668" s="2"/>
      <c r="J668" s="2"/>
    </row>
    <row r="669" spans="9:10" ht="13.2" x14ac:dyDescent="0.25">
      <c r="I669" s="2"/>
      <c r="J669" s="2"/>
    </row>
    <row r="670" spans="9:10" ht="13.2" x14ac:dyDescent="0.25">
      <c r="I670" s="2"/>
      <c r="J670" s="2"/>
    </row>
    <row r="671" spans="9:10" ht="13.2" x14ac:dyDescent="0.25">
      <c r="I671" s="2"/>
      <c r="J671" s="2"/>
    </row>
    <row r="672" spans="9:10" ht="13.2" x14ac:dyDescent="0.25">
      <c r="I672" s="2"/>
      <c r="J672" s="2"/>
    </row>
    <row r="673" spans="9:10" ht="13.2" x14ac:dyDescent="0.25">
      <c r="I673" s="2"/>
      <c r="J673" s="2"/>
    </row>
    <row r="674" spans="9:10" ht="13.2" x14ac:dyDescent="0.25">
      <c r="I674" s="2"/>
      <c r="J674" s="2"/>
    </row>
    <row r="675" spans="9:10" ht="13.2" x14ac:dyDescent="0.25">
      <c r="I675" s="2"/>
      <c r="J675" s="2"/>
    </row>
    <row r="676" spans="9:10" ht="13.2" x14ac:dyDescent="0.25">
      <c r="I676" s="2"/>
      <c r="J676" s="2"/>
    </row>
    <row r="677" spans="9:10" ht="13.2" x14ac:dyDescent="0.25">
      <c r="I677" s="2"/>
      <c r="J677" s="2"/>
    </row>
    <row r="678" spans="9:10" ht="13.2" x14ac:dyDescent="0.25">
      <c r="I678" s="2"/>
      <c r="J678" s="2"/>
    </row>
    <row r="679" spans="9:10" ht="13.2" x14ac:dyDescent="0.25">
      <c r="I679" s="2"/>
      <c r="J679" s="2"/>
    </row>
    <row r="680" spans="9:10" ht="13.2" x14ac:dyDescent="0.25">
      <c r="I680" s="2"/>
      <c r="J680" s="2"/>
    </row>
    <row r="681" spans="9:10" ht="13.2" x14ac:dyDescent="0.25">
      <c r="I681" s="2"/>
      <c r="J681" s="2"/>
    </row>
    <row r="682" spans="9:10" ht="13.2" x14ac:dyDescent="0.25">
      <c r="I682" s="2"/>
      <c r="J682" s="2"/>
    </row>
    <row r="683" spans="9:10" ht="13.2" x14ac:dyDescent="0.25">
      <c r="I683" s="2"/>
      <c r="J683" s="2"/>
    </row>
    <row r="684" spans="9:10" ht="13.2" x14ac:dyDescent="0.25">
      <c r="I684" s="2"/>
      <c r="J684" s="2"/>
    </row>
    <row r="685" spans="9:10" ht="13.2" x14ac:dyDescent="0.25">
      <c r="I685" s="2"/>
      <c r="J685" s="2"/>
    </row>
    <row r="686" spans="9:10" ht="13.2" x14ac:dyDescent="0.25">
      <c r="I686" s="2"/>
      <c r="J686" s="2"/>
    </row>
    <row r="687" spans="9:10" ht="13.2" x14ac:dyDescent="0.25">
      <c r="I687" s="2"/>
      <c r="J687" s="2"/>
    </row>
    <row r="688" spans="9:10" ht="13.2" x14ac:dyDescent="0.25">
      <c r="I688" s="2"/>
      <c r="J688" s="2"/>
    </row>
    <row r="689" spans="9:10" ht="13.2" x14ac:dyDescent="0.25">
      <c r="I689" s="2"/>
      <c r="J689" s="2"/>
    </row>
    <row r="690" spans="9:10" ht="13.2" x14ac:dyDescent="0.25">
      <c r="I690" s="2"/>
      <c r="J690" s="2"/>
    </row>
    <row r="691" spans="9:10" ht="13.2" x14ac:dyDescent="0.25">
      <c r="I691" s="2"/>
      <c r="J691" s="2"/>
    </row>
    <row r="692" spans="9:10" ht="13.2" x14ac:dyDescent="0.25">
      <c r="I692" s="2"/>
      <c r="J692" s="2"/>
    </row>
    <row r="693" spans="9:10" ht="13.2" x14ac:dyDescent="0.25">
      <c r="I693" s="2"/>
      <c r="J693" s="2"/>
    </row>
    <row r="694" spans="9:10" ht="13.2" x14ac:dyDescent="0.25">
      <c r="I694" s="2"/>
      <c r="J694" s="2"/>
    </row>
    <row r="695" spans="9:10" ht="13.2" x14ac:dyDescent="0.25">
      <c r="I695" s="2"/>
      <c r="J695" s="2"/>
    </row>
    <row r="696" spans="9:10" ht="13.2" x14ac:dyDescent="0.25">
      <c r="I696" s="2"/>
      <c r="J696" s="2"/>
    </row>
    <row r="697" spans="9:10" ht="13.2" x14ac:dyDescent="0.25">
      <c r="I697" s="2"/>
      <c r="J697" s="2"/>
    </row>
    <row r="698" spans="9:10" ht="13.2" x14ac:dyDescent="0.25">
      <c r="I698" s="2"/>
      <c r="J698" s="2"/>
    </row>
    <row r="699" spans="9:10" ht="13.2" x14ac:dyDescent="0.25">
      <c r="I699" s="2"/>
      <c r="J699" s="2"/>
    </row>
    <row r="700" spans="9:10" ht="13.2" x14ac:dyDescent="0.25">
      <c r="I700" s="2"/>
      <c r="J700" s="2"/>
    </row>
    <row r="701" spans="9:10" ht="13.2" x14ac:dyDescent="0.25">
      <c r="I701" s="2"/>
      <c r="J701" s="2"/>
    </row>
    <row r="702" spans="9:10" ht="13.2" x14ac:dyDescent="0.25">
      <c r="I702" s="2"/>
      <c r="J702" s="2"/>
    </row>
    <row r="703" spans="9:10" ht="13.2" x14ac:dyDescent="0.25">
      <c r="I703" s="2"/>
      <c r="J703" s="2"/>
    </row>
    <row r="704" spans="9:10" ht="13.2" x14ac:dyDescent="0.25">
      <c r="I704" s="2"/>
      <c r="J704" s="2"/>
    </row>
    <row r="705" spans="9:10" ht="13.2" x14ac:dyDescent="0.25">
      <c r="I705" s="2"/>
      <c r="J705" s="2"/>
    </row>
    <row r="706" spans="9:10" ht="13.2" x14ac:dyDescent="0.25">
      <c r="I706" s="2"/>
      <c r="J706" s="2"/>
    </row>
    <row r="707" spans="9:10" ht="13.2" x14ac:dyDescent="0.25">
      <c r="I707" s="2"/>
      <c r="J707" s="2"/>
    </row>
    <row r="708" spans="9:10" ht="13.2" x14ac:dyDescent="0.25">
      <c r="I708" s="2"/>
      <c r="J708" s="2"/>
    </row>
    <row r="709" spans="9:10" ht="13.2" x14ac:dyDescent="0.25">
      <c r="I709" s="2"/>
      <c r="J709" s="2"/>
    </row>
    <row r="710" spans="9:10" ht="13.2" x14ac:dyDescent="0.25">
      <c r="I710" s="2"/>
      <c r="J710" s="2"/>
    </row>
    <row r="711" spans="9:10" ht="13.2" x14ac:dyDescent="0.25">
      <c r="I711" s="2"/>
      <c r="J711" s="2"/>
    </row>
    <row r="712" spans="9:10" ht="13.2" x14ac:dyDescent="0.25">
      <c r="I712" s="2"/>
      <c r="J712" s="2"/>
    </row>
    <row r="713" spans="9:10" ht="13.2" x14ac:dyDescent="0.25">
      <c r="I713" s="2"/>
      <c r="J713" s="2"/>
    </row>
    <row r="714" spans="9:10" ht="13.2" x14ac:dyDescent="0.25">
      <c r="I714" s="2"/>
      <c r="J714" s="2"/>
    </row>
    <row r="715" spans="9:10" ht="13.2" x14ac:dyDescent="0.25">
      <c r="I715" s="2"/>
      <c r="J715" s="2"/>
    </row>
    <row r="716" spans="9:10" ht="13.2" x14ac:dyDescent="0.25">
      <c r="I716" s="2"/>
      <c r="J716" s="2"/>
    </row>
    <row r="717" spans="9:10" ht="13.2" x14ac:dyDescent="0.25">
      <c r="I717" s="2"/>
      <c r="J717" s="2"/>
    </row>
    <row r="718" spans="9:10" ht="13.2" x14ac:dyDescent="0.25">
      <c r="I718" s="2"/>
      <c r="J718" s="2"/>
    </row>
    <row r="719" spans="9:10" ht="13.2" x14ac:dyDescent="0.25">
      <c r="I719" s="2"/>
      <c r="J719" s="2"/>
    </row>
    <row r="720" spans="9:10" ht="13.2" x14ac:dyDescent="0.25">
      <c r="I720" s="2"/>
      <c r="J720" s="2"/>
    </row>
    <row r="721" spans="9:10" ht="13.2" x14ac:dyDescent="0.25">
      <c r="I721" s="2"/>
      <c r="J721" s="2"/>
    </row>
    <row r="722" spans="9:10" ht="13.2" x14ac:dyDescent="0.25">
      <c r="I722" s="2"/>
      <c r="J722" s="2"/>
    </row>
    <row r="723" spans="9:10" ht="13.2" x14ac:dyDescent="0.25">
      <c r="I723" s="2"/>
      <c r="J723" s="2"/>
    </row>
    <row r="724" spans="9:10" ht="13.2" x14ac:dyDescent="0.25">
      <c r="I724" s="2"/>
      <c r="J724" s="2"/>
    </row>
    <row r="725" spans="9:10" ht="13.2" x14ac:dyDescent="0.25">
      <c r="I725" s="2"/>
      <c r="J725" s="2"/>
    </row>
    <row r="726" spans="9:10" ht="13.2" x14ac:dyDescent="0.25">
      <c r="I726" s="2"/>
      <c r="J726" s="2"/>
    </row>
    <row r="727" spans="9:10" ht="13.2" x14ac:dyDescent="0.25">
      <c r="I727" s="2"/>
      <c r="J727" s="2"/>
    </row>
    <row r="728" spans="9:10" ht="13.2" x14ac:dyDescent="0.25">
      <c r="I728" s="2"/>
      <c r="J728" s="2"/>
    </row>
    <row r="729" spans="9:10" ht="13.2" x14ac:dyDescent="0.25">
      <c r="I729" s="2"/>
      <c r="J729" s="2"/>
    </row>
    <row r="730" spans="9:10" ht="13.2" x14ac:dyDescent="0.25">
      <c r="I730" s="2"/>
      <c r="J730" s="2"/>
    </row>
    <row r="731" spans="9:10" ht="13.2" x14ac:dyDescent="0.25">
      <c r="I731" s="2"/>
      <c r="J731" s="2"/>
    </row>
    <row r="732" spans="9:10" ht="13.2" x14ac:dyDescent="0.25">
      <c r="I732" s="2"/>
      <c r="J732" s="2"/>
    </row>
    <row r="733" spans="9:10" ht="13.2" x14ac:dyDescent="0.25">
      <c r="I733" s="2"/>
      <c r="J733" s="2"/>
    </row>
    <row r="734" spans="9:10" ht="13.2" x14ac:dyDescent="0.25">
      <c r="I734" s="2"/>
      <c r="J734" s="2"/>
    </row>
    <row r="735" spans="9:10" ht="13.2" x14ac:dyDescent="0.25">
      <c r="I735" s="2"/>
      <c r="J735" s="2"/>
    </row>
    <row r="736" spans="9:10" ht="13.2" x14ac:dyDescent="0.25">
      <c r="I736" s="2"/>
      <c r="J736" s="2"/>
    </row>
    <row r="737" spans="9:10" ht="13.2" x14ac:dyDescent="0.25">
      <c r="I737" s="2"/>
      <c r="J737" s="2"/>
    </row>
    <row r="738" spans="9:10" ht="13.2" x14ac:dyDescent="0.25">
      <c r="I738" s="2"/>
      <c r="J738" s="2"/>
    </row>
    <row r="739" spans="9:10" ht="13.2" x14ac:dyDescent="0.25">
      <c r="I739" s="2"/>
      <c r="J739" s="2"/>
    </row>
    <row r="740" spans="9:10" ht="13.2" x14ac:dyDescent="0.25">
      <c r="I740" s="2"/>
      <c r="J740" s="2"/>
    </row>
    <row r="741" spans="9:10" ht="13.2" x14ac:dyDescent="0.25">
      <c r="I741" s="2"/>
      <c r="J741" s="2"/>
    </row>
    <row r="742" spans="9:10" ht="13.2" x14ac:dyDescent="0.25">
      <c r="I742" s="2"/>
      <c r="J742" s="2"/>
    </row>
    <row r="743" spans="9:10" ht="13.2" x14ac:dyDescent="0.25">
      <c r="I743" s="2"/>
      <c r="J743" s="2"/>
    </row>
    <row r="744" spans="9:10" ht="13.2" x14ac:dyDescent="0.25">
      <c r="I744" s="2"/>
      <c r="J744" s="2"/>
    </row>
    <row r="745" spans="9:10" ht="13.2" x14ac:dyDescent="0.25">
      <c r="I745" s="2"/>
      <c r="J745" s="2"/>
    </row>
    <row r="746" spans="9:10" ht="13.2" x14ac:dyDescent="0.25">
      <c r="I746" s="2"/>
      <c r="J746" s="2"/>
    </row>
    <row r="747" spans="9:10" ht="13.2" x14ac:dyDescent="0.25">
      <c r="I747" s="2"/>
      <c r="J747" s="2"/>
    </row>
    <row r="748" spans="9:10" ht="13.2" x14ac:dyDescent="0.25">
      <c r="I748" s="2"/>
      <c r="J748" s="2"/>
    </row>
    <row r="749" spans="9:10" ht="13.2" x14ac:dyDescent="0.25">
      <c r="I749" s="2"/>
      <c r="J749" s="2"/>
    </row>
    <row r="750" spans="9:10" ht="13.2" x14ac:dyDescent="0.25">
      <c r="I750" s="2"/>
      <c r="J750" s="2"/>
    </row>
    <row r="751" spans="9:10" ht="13.2" x14ac:dyDescent="0.25">
      <c r="I751" s="2"/>
      <c r="J751" s="2"/>
    </row>
    <row r="752" spans="9:10" ht="13.2" x14ac:dyDescent="0.25">
      <c r="I752" s="2"/>
      <c r="J752" s="2"/>
    </row>
    <row r="753" spans="9:10" ht="13.2" x14ac:dyDescent="0.25">
      <c r="I753" s="2"/>
      <c r="J753" s="2"/>
    </row>
    <row r="754" spans="9:10" ht="13.2" x14ac:dyDescent="0.25">
      <c r="I754" s="2"/>
      <c r="J754" s="2"/>
    </row>
    <row r="755" spans="9:10" ht="13.2" x14ac:dyDescent="0.25">
      <c r="I755" s="2"/>
      <c r="J755" s="2"/>
    </row>
    <row r="756" spans="9:10" ht="13.2" x14ac:dyDescent="0.25">
      <c r="I756" s="2"/>
      <c r="J756" s="2"/>
    </row>
    <row r="757" spans="9:10" ht="13.2" x14ac:dyDescent="0.25">
      <c r="I757" s="2"/>
      <c r="J757" s="2"/>
    </row>
    <row r="758" spans="9:10" ht="13.2" x14ac:dyDescent="0.25">
      <c r="I758" s="2"/>
      <c r="J758" s="2"/>
    </row>
    <row r="759" spans="9:10" ht="13.2" x14ac:dyDescent="0.25">
      <c r="I759" s="2"/>
      <c r="J759" s="2"/>
    </row>
    <row r="760" spans="9:10" ht="13.2" x14ac:dyDescent="0.25">
      <c r="I760" s="2"/>
      <c r="J760" s="2"/>
    </row>
    <row r="761" spans="9:10" ht="13.2" x14ac:dyDescent="0.25">
      <c r="I761" s="2"/>
      <c r="J761" s="2"/>
    </row>
    <row r="762" spans="9:10" ht="13.2" x14ac:dyDescent="0.25">
      <c r="I762" s="2"/>
      <c r="J762" s="2"/>
    </row>
    <row r="763" spans="9:10" ht="13.2" x14ac:dyDescent="0.25">
      <c r="I763" s="2"/>
      <c r="J763" s="2"/>
    </row>
    <row r="764" spans="9:10" ht="13.2" x14ac:dyDescent="0.25">
      <c r="I764" s="2"/>
      <c r="J764" s="2"/>
    </row>
    <row r="765" spans="9:10" ht="13.2" x14ac:dyDescent="0.25">
      <c r="I765" s="2"/>
      <c r="J765" s="2"/>
    </row>
    <row r="766" spans="9:10" ht="13.2" x14ac:dyDescent="0.25">
      <c r="I766" s="2"/>
      <c r="J766" s="2"/>
    </row>
    <row r="767" spans="9:10" ht="13.2" x14ac:dyDescent="0.25">
      <c r="I767" s="2"/>
      <c r="J767" s="2"/>
    </row>
    <row r="768" spans="9:10" ht="13.2" x14ac:dyDescent="0.25">
      <c r="I768" s="2"/>
      <c r="J768" s="2"/>
    </row>
    <row r="769" spans="9:10" ht="13.2" x14ac:dyDescent="0.25">
      <c r="I769" s="2"/>
      <c r="J769" s="2"/>
    </row>
    <row r="770" spans="9:10" ht="13.2" x14ac:dyDescent="0.25">
      <c r="I770" s="2"/>
      <c r="J770" s="2"/>
    </row>
    <row r="771" spans="9:10" ht="13.2" x14ac:dyDescent="0.25">
      <c r="I771" s="2"/>
      <c r="J771" s="2"/>
    </row>
    <row r="772" spans="9:10" ht="13.2" x14ac:dyDescent="0.25">
      <c r="I772" s="2"/>
      <c r="J772" s="2"/>
    </row>
    <row r="773" spans="9:10" ht="13.2" x14ac:dyDescent="0.25">
      <c r="I773" s="2"/>
      <c r="J773" s="2"/>
    </row>
    <row r="774" spans="9:10" ht="13.2" x14ac:dyDescent="0.25">
      <c r="I774" s="2"/>
      <c r="J774" s="2"/>
    </row>
    <row r="775" spans="9:10" ht="13.2" x14ac:dyDescent="0.25">
      <c r="I775" s="2"/>
      <c r="J775" s="2"/>
    </row>
    <row r="776" spans="9:10" ht="13.2" x14ac:dyDescent="0.25">
      <c r="I776" s="2"/>
      <c r="J776" s="2"/>
    </row>
    <row r="777" spans="9:10" ht="13.2" x14ac:dyDescent="0.25">
      <c r="I777" s="2"/>
      <c r="J777" s="2"/>
    </row>
    <row r="778" spans="9:10" ht="13.2" x14ac:dyDescent="0.25">
      <c r="I778" s="2"/>
      <c r="J778" s="2"/>
    </row>
    <row r="779" spans="9:10" ht="13.2" x14ac:dyDescent="0.25">
      <c r="I779" s="2"/>
      <c r="J779" s="2"/>
    </row>
    <row r="780" spans="9:10" ht="13.2" x14ac:dyDescent="0.25">
      <c r="I780" s="2"/>
      <c r="J780" s="2"/>
    </row>
    <row r="781" spans="9:10" ht="13.2" x14ac:dyDescent="0.25">
      <c r="I781" s="2"/>
      <c r="J781" s="2"/>
    </row>
    <row r="782" spans="9:10" ht="13.2" x14ac:dyDescent="0.25">
      <c r="I782" s="2"/>
      <c r="J782" s="2"/>
    </row>
    <row r="783" spans="9:10" ht="13.2" x14ac:dyDescent="0.25">
      <c r="I783" s="2"/>
      <c r="J783" s="2"/>
    </row>
    <row r="784" spans="9:10" ht="13.2" x14ac:dyDescent="0.25">
      <c r="I784" s="2"/>
      <c r="J784" s="2"/>
    </row>
    <row r="785" spans="9:10" ht="13.2" x14ac:dyDescent="0.25">
      <c r="I785" s="2"/>
      <c r="J785" s="2"/>
    </row>
    <row r="786" spans="9:10" ht="13.2" x14ac:dyDescent="0.25">
      <c r="I786" s="2"/>
      <c r="J786" s="2"/>
    </row>
    <row r="787" spans="9:10" ht="13.2" x14ac:dyDescent="0.25">
      <c r="I787" s="2"/>
      <c r="J787" s="2"/>
    </row>
    <row r="788" spans="9:10" ht="13.2" x14ac:dyDescent="0.25">
      <c r="I788" s="2"/>
      <c r="J788" s="2"/>
    </row>
    <row r="789" spans="9:10" ht="13.2" x14ac:dyDescent="0.25">
      <c r="I789" s="2"/>
      <c r="J789" s="2"/>
    </row>
    <row r="790" spans="9:10" ht="13.2" x14ac:dyDescent="0.25">
      <c r="I790" s="2"/>
      <c r="J790" s="2"/>
    </row>
    <row r="791" spans="9:10" ht="13.2" x14ac:dyDescent="0.25">
      <c r="I791" s="2"/>
      <c r="J791" s="2"/>
    </row>
    <row r="792" spans="9:10" ht="13.2" x14ac:dyDescent="0.25">
      <c r="I792" s="2"/>
      <c r="J792" s="2"/>
    </row>
    <row r="793" spans="9:10" ht="13.2" x14ac:dyDescent="0.25">
      <c r="I793" s="2"/>
      <c r="J793" s="2"/>
    </row>
    <row r="794" spans="9:10" ht="13.2" x14ac:dyDescent="0.25">
      <c r="I794" s="2"/>
      <c r="J794" s="2"/>
    </row>
    <row r="795" spans="9:10" ht="13.2" x14ac:dyDescent="0.25">
      <c r="I795" s="2"/>
      <c r="J795" s="2"/>
    </row>
    <row r="796" spans="9:10" ht="13.2" x14ac:dyDescent="0.25">
      <c r="I796" s="2"/>
      <c r="J796" s="2"/>
    </row>
    <row r="797" spans="9:10" ht="13.2" x14ac:dyDescent="0.25">
      <c r="I797" s="2"/>
      <c r="J797" s="2"/>
    </row>
    <row r="798" spans="9:10" ht="13.2" x14ac:dyDescent="0.25">
      <c r="I798" s="2"/>
      <c r="J798" s="2"/>
    </row>
    <row r="799" spans="9:10" ht="13.2" x14ac:dyDescent="0.25">
      <c r="I799" s="2"/>
      <c r="J799" s="2"/>
    </row>
    <row r="800" spans="9:10" ht="13.2" x14ac:dyDescent="0.25">
      <c r="I800" s="2"/>
      <c r="J800" s="2"/>
    </row>
    <row r="801" spans="9:10" ht="13.2" x14ac:dyDescent="0.25">
      <c r="I801" s="2"/>
      <c r="J801" s="2"/>
    </row>
    <row r="802" spans="9:10" ht="13.2" x14ac:dyDescent="0.25">
      <c r="I802" s="2"/>
      <c r="J802" s="2"/>
    </row>
    <row r="803" spans="9:10" ht="13.2" x14ac:dyDescent="0.25">
      <c r="I803" s="2"/>
      <c r="J803" s="2"/>
    </row>
    <row r="804" spans="9:10" ht="13.2" x14ac:dyDescent="0.25">
      <c r="I804" s="2"/>
      <c r="J804" s="2"/>
    </row>
    <row r="805" spans="9:10" ht="13.2" x14ac:dyDescent="0.25">
      <c r="I805" s="2"/>
      <c r="J805" s="2"/>
    </row>
    <row r="806" spans="9:10" ht="13.2" x14ac:dyDescent="0.25">
      <c r="I806" s="2"/>
      <c r="J806" s="2"/>
    </row>
    <row r="807" spans="9:10" ht="13.2" x14ac:dyDescent="0.25">
      <c r="I807" s="2"/>
      <c r="J807" s="2"/>
    </row>
    <row r="808" spans="9:10" ht="13.2" x14ac:dyDescent="0.25">
      <c r="I808" s="2"/>
      <c r="J808" s="2"/>
    </row>
    <row r="809" spans="9:10" ht="13.2" x14ac:dyDescent="0.25">
      <c r="I809" s="2"/>
      <c r="J809" s="2"/>
    </row>
    <row r="810" spans="9:10" ht="13.2" x14ac:dyDescent="0.25">
      <c r="I810" s="2"/>
      <c r="J810" s="2"/>
    </row>
    <row r="811" spans="9:10" ht="13.2" x14ac:dyDescent="0.25">
      <c r="I811" s="2"/>
      <c r="J811" s="2"/>
    </row>
    <row r="812" spans="9:10" ht="13.2" x14ac:dyDescent="0.25">
      <c r="I812" s="2"/>
      <c r="J812" s="2"/>
    </row>
    <row r="813" spans="9:10" ht="13.2" x14ac:dyDescent="0.25">
      <c r="I813" s="2"/>
      <c r="J813" s="2"/>
    </row>
    <row r="814" spans="9:10" ht="13.2" x14ac:dyDescent="0.25">
      <c r="I814" s="2"/>
      <c r="J814" s="2"/>
    </row>
    <row r="815" spans="9:10" ht="13.2" x14ac:dyDescent="0.25">
      <c r="I815" s="2"/>
      <c r="J815" s="2"/>
    </row>
    <row r="816" spans="9:10" ht="13.2" x14ac:dyDescent="0.25">
      <c r="I816" s="2"/>
      <c r="J816" s="2"/>
    </row>
    <row r="817" spans="9:10" ht="13.2" x14ac:dyDescent="0.25">
      <c r="I817" s="2"/>
      <c r="J817" s="2"/>
    </row>
    <row r="818" spans="9:10" ht="13.2" x14ac:dyDescent="0.25">
      <c r="I818" s="2"/>
      <c r="J818" s="2"/>
    </row>
    <row r="819" spans="9:10" ht="13.2" x14ac:dyDescent="0.25">
      <c r="I819" s="2"/>
      <c r="J819" s="2"/>
    </row>
    <row r="820" spans="9:10" ht="13.2" x14ac:dyDescent="0.25">
      <c r="I820" s="2"/>
      <c r="J820" s="2"/>
    </row>
    <row r="821" spans="9:10" ht="13.2" x14ac:dyDescent="0.25">
      <c r="I821" s="2"/>
      <c r="J821" s="2"/>
    </row>
    <row r="822" spans="9:10" ht="13.2" x14ac:dyDescent="0.25">
      <c r="I822" s="2"/>
      <c r="J822" s="2"/>
    </row>
    <row r="823" spans="9:10" ht="13.2" x14ac:dyDescent="0.25">
      <c r="I823" s="2"/>
      <c r="J823" s="2"/>
    </row>
    <row r="824" spans="9:10" ht="13.2" x14ac:dyDescent="0.25">
      <c r="I824" s="2"/>
      <c r="J824" s="2"/>
    </row>
    <row r="825" spans="9:10" ht="13.2" x14ac:dyDescent="0.25">
      <c r="I825" s="2"/>
      <c r="J825" s="2"/>
    </row>
    <row r="826" spans="9:10" ht="13.2" x14ac:dyDescent="0.25">
      <c r="I826" s="2"/>
      <c r="J826" s="2"/>
    </row>
    <row r="827" spans="9:10" ht="13.2" x14ac:dyDescent="0.25">
      <c r="I827" s="2"/>
      <c r="J827" s="2"/>
    </row>
    <row r="828" spans="9:10" ht="13.2" x14ac:dyDescent="0.25">
      <c r="I828" s="2"/>
      <c r="J828" s="2"/>
    </row>
    <row r="829" spans="9:10" ht="13.2" x14ac:dyDescent="0.25">
      <c r="I829" s="2"/>
      <c r="J829" s="2"/>
    </row>
    <row r="830" spans="9:10" ht="13.2" x14ac:dyDescent="0.25">
      <c r="I830" s="2"/>
      <c r="J830" s="2"/>
    </row>
    <row r="831" spans="9:10" ht="13.2" x14ac:dyDescent="0.25">
      <c r="I831" s="2"/>
      <c r="J831" s="2"/>
    </row>
    <row r="832" spans="9:10" ht="13.2" x14ac:dyDescent="0.25">
      <c r="I832" s="2"/>
      <c r="J832" s="2"/>
    </row>
    <row r="833" spans="9:10" ht="13.2" x14ac:dyDescent="0.25">
      <c r="I833" s="2"/>
      <c r="J833" s="2"/>
    </row>
    <row r="834" spans="9:10" ht="13.2" x14ac:dyDescent="0.25">
      <c r="I834" s="2"/>
      <c r="J834" s="2"/>
    </row>
    <row r="835" spans="9:10" ht="13.2" x14ac:dyDescent="0.25">
      <c r="I835" s="2"/>
      <c r="J835" s="2"/>
    </row>
    <row r="836" spans="9:10" ht="13.2" x14ac:dyDescent="0.25">
      <c r="I836" s="2"/>
      <c r="J836" s="2"/>
    </row>
    <row r="837" spans="9:10" ht="13.2" x14ac:dyDescent="0.25">
      <c r="I837" s="2"/>
      <c r="J837" s="2"/>
    </row>
    <row r="838" spans="9:10" ht="13.2" x14ac:dyDescent="0.25">
      <c r="I838" s="2"/>
      <c r="J838" s="2"/>
    </row>
    <row r="839" spans="9:10" ht="13.2" x14ac:dyDescent="0.25">
      <c r="I839" s="2"/>
      <c r="J839" s="2"/>
    </row>
    <row r="840" spans="9:10" ht="13.2" x14ac:dyDescent="0.25">
      <c r="I840" s="2"/>
      <c r="J840" s="2"/>
    </row>
    <row r="841" spans="9:10" ht="13.2" x14ac:dyDescent="0.25">
      <c r="I841" s="2"/>
      <c r="J841" s="2"/>
    </row>
    <row r="842" spans="9:10" ht="13.2" x14ac:dyDescent="0.25">
      <c r="I842" s="2"/>
      <c r="J842" s="2"/>
    </row>
    <row r="843" spans="9:10" ht="13.2" x14ac:dyDescent="0.25">
      <c r="I843" s="2"/>
      <c r="J843" s="2"/>
    </row>
    <row r="844" spans="9:10" ht="13.2" x14ac:dyDescent="0.25">
      <c r="I844" s="2"/>
      <c r="J844" s="2"/>
    </row>
    <row r="845" spans="9:10" ht="13.2" x14ac:dyDescent="0.25">
      <c r="I845" s="2"/>
      <c r="J845" s="2"/>
    </row>
    <row r="846" spans="9:10" ht="13.2" x14ac:dyDescent="0.25">
      <c r="I846" s="2"/>
      <c r="J846" s="2"/>
    </row>
    <row r="847" spans="9:10" ht="13.2" x14ac:dyDescent="0.25">
      <c r="I847" s="2"/>
      <c r="J847" s="2"/>
    </row>
    <row r="848" spans="9:10" ht="13.2" x14ac:dyDescent="0.25">
      <c r="I848" s="2"/>
      <c r="J848" s="2"/>
    </row>
    <row r="849" spans="9:10" ht="13.2" x14ac:dyDescent="0.25">
      <c r="I849" s="2"/>
      <c r="J849" s="2"/>
    </row>
    <row r="850" spans="9:10" ht="13.2" x14ac:dyDescent="0.25">
      <c r="I850" s="2"/>
      <c r="J850" s="2"/>
    </row>
    <row r="851" spans="9:10" ht="13.2" x14ac:dyDescent="0.25">
      <c r="I851" s="2"/>
      <c r="J851" s="2"/>
    </row>
    <row r="852" spans="9:10" ht="13.2" x14ac:dyDescent="0.25">
      <c r="I852" s="2"/>
      <c r="J852" s="2"/>
    </row>
    <row r="853" spans="9:10" ht="13.2" x14ac:dyDescent="0.25">
      <c r="I853" s="2"/>
      <c r="J853" s="2"/>
    </row>
    <row r="854" spans="9:10" ht="13.2" x14ac:dyDescent="0.25">
      <c r="I854" s="2"/>
      <c r="J854" s="2"/>
    </row>
    <row r="855" spans="9:10" ht="13.2" x14ac:dyDescent="0.25">
      <c r="I855" s="2"/>
      <c r="J855" s="2"/>
    </row>
    <row r="856" spans="9:10" ht="13.2" x14ac:dyDescent="0.25">
      <c r="I856" s="2"/>
      <c r="J856" s="2"/>
    </row>
    <row r="857" spans="9:10" ht="13.2" x14ac:dyDescent="0.25">
      <c r="I857" s="2"/>
      <c r="J857" s="2"/>
    </row>
    <row r="858" spans="9:10" ht="13.2" x14ac:dyDescent="0.25">
      <c r="I858" s="2"/>
      <c r="J858" s="2"/>
    </row>
    <row r="859" spans="9:10" ht="13.2" x14ac:dyDescent="0.25">
      <c r="I859" s="2"/>
      <c r="J859" s="2"/>
    </row>
    <row r="860" spans="9:10" ht="13.2" x14ac:dyDescent="0.25">
      <c r="I860" s="2"/>
      <c r="J860" s="2"/>
    </row>
    <row r="861" spans="9:10" ht="13.2" x14ac:dyDescent="0.25">
      <c r="I861" s="2"/>
      <c r="J861" s="2"/>
    </row>
    <row r="862" spans="9:10" ht="13.2" x14ac:dyDescent="0.25">
      <c r="I862" s="2"/>
      <c r="J862" s="2"/>
    </row>
    <row r="863" spans="9:10" ht="13.2" x14ac:dyDescent="0.25">
      <c r="I863" s="2"/>
      <c r="J863" s="2"/>
    </row>
    <row r="864" spans="9:10" ht="13.2" x14ac:dyDescent="0.25">
      <c r="I864" s="2"/>
      <c r="J864" s="2"/>
    </row>
    <row r="865" spans="9:10" ht="13.2" x14ac:dyDescent="0.25">
      <c r="I865" s="2"/>
      <c r="J865" s="2"/>
    </row>
    <row r="866" spans="9:10" ht="13.2" x14ac:dyDescent="0.25">
      <c r="I866" s="2"/>
      <c r="J866" s="2"/>
    </row>
    <row r="867" spans="9:10" ht="13.2" x14ac:dyDescent="0.25">
      <c r="I867" s="2"/>
      <c r="J867" s="2"/>
    </row>
    <row r="868" spans="9:10" ht="13.2" x14ac:dyDescent="0.25">
      <c r="I868" s="2"/>
      <c r="J868" s="2"/>
    </row>
    <row r="869" spans="9:10" ht="13.2" x14ac:dyDescent="0.25">
      <c r="I869" s="2"/>
      <c r="J869" s="2"/>
    </row>
    <row r="870" spans="9:10" ht="13.2" x14ac:dyDescent="0.25">
      <c r="I870" s="2"/>
      <c r="J870" s="2"/>
    </row>
    <row r="871" spans="9:10" ht="13.2" x14ac:dyDescent="0.25">
      <c r="I871" s="2"/>
      <c r="J871" s="2"/>
    </row>
    <row r="872" spans="9:10" ht="13.2" x14ac:dyDescent="0.25">
      <c r="I872" s="2"/>
      <c r="J872" s="2"/>
    </row>
    <row r="873" spans="9:10" ht="13.2" x14ac:dyDescent="0.25">
      <c r="I873" s="2"/>
      <c r="J873" s="2"/>
    </row>
    <row r="874" spans="9:10" ht="13.2" x14ac:dyDescent="0.25">
      <c r="I874" s="2"/>
      <c r="J874" s="2"/>
    </row>
    <row r="875" spans="9:10" ht="13.2" x14ac:dyDescent="0.25">
      <c r="I875" s="2"/>
      <c r="J875" s="2"/>
    </row>
    <row r="876" spans="9:10" ht="13.2" x14ac:dyDescent="0.25">
      <c r="I876" s="2"/>
      <c r="J876" s="2"/>
    </row>
    <row r="877" spans="9:10" ht="13.2" x14ac:dyDescent="0.25">
      <c r="I877" s="2"/>
      <c r="J877" s="2"/>
    </row>
    <row r="878" spans="9:10" ht="13.2" x14ac:dyDescent="0.25">
      <c r="I878" s="2"/>
      <c r="J878" s="2"/>
    </row>
    <row r="879" spans="9:10" ht="13.2" x14ac:dyDescent="0.25">
      <c r="I879" s="2"/>
      <c r="J879" s="2"/>
    </row>
    <row r="880" spans="9:10" ht="13.2" x14ac:dyDescent="0.25">
      <c r="I880" s="2"/>
      <c r="J880" s="2"/>
    </row>
    <row r="881" spans="9:10" ht="13.2" x14ac:dyDescent="0.25">
      <c r="I881" s="2"/>
      <c r="J881" s="2"/>
    </row>
    <row r="882" spans="9:10" ht="13.2" x14ac:dyDescent="0.25">
      <c r="I882" s="2"/>
      <c r="J882" s="2"/>
    </row>
    <row r="883" spans="9:10" ht="13.2" x14ac:dyDescent="0.25">
      <c r="I883" s="2"/>
      <c r="J883" s="2"/>
    </row>
    <row r="884" spans="9:10" ht="13.2" x14ac:dyDescent="0.25">
      <c r="I884" s="2"/>
      <c r="J884" s="2"/>
    </row>
    <row r="885" spans="9:10" ht="13.2" x14ac:dyDescent="0.25">
      <c r="I885" s="2"/>
      <c r="J885" s="2"/>
    </row>
    <row r="886" spans="9:10" ht="13.2" x14ac:dyDescent="0.25">
      <c r="I886" s="2"/>
      <c r="J886" s="2"/>
    </row>
    <row r="887" spans="9:10" ht="13.2" x14ac:dyDescent="0.25">
      <c r="I887" s="2"/>
      <c r="J887" s="2"/>
    </row>
    <row r="888" spans="9:10" ht="13.2" x14ac:dyDescent="0.25">
      <c r="I888" s="2"/>
      <c r="J888" s="2"/>
    </row>
    <row r="889" spans="9:10" ht="13.2" x14ac:dyDescent="0.25">
      <c r="I889" s="2"/>
      <c r="J889" s="2"/>
    </row>
    <row r="890" spans="9:10" ht="13.2" x14ac:dyDescent="0.25">
      <c r="I890" s="2"/>
      <c r="J890" s="2"/>
    </row>
    <row r="891" spans="9:10" ht="13.2" x14ac:dyDescent="0.25">
      <c r="I891" s="2"/>
      <c r="J891" s="2"/>
    </row>
    <row r="892" spans="9:10" ht="13.2" x14ac:dyDescent="0.25">
      <c r="I892" s="2"/>
      <c r="J892" s="2"/>
    </row>
    <row r="893" spans="9:10" ht="13.2" x14ac:dyDescent="0.25">
      <c r="I893" s="2"/>
      <c r="J893" s="2"/>
    </row>
    <row r="894" spans="9:10" ht="13.2" x14ac:dyDescent="0.25">
      <c r="I894" s="2"/>
      <c r="J894" s="2"/>
    </row>
    <row r="895" spans="9:10" ht="13.2" x14ac:dyDescent="0.25">
      <c r="I895" s="2"/>
      <c r="J895" s="2"/>
    </row>
    <row r="896" spans="9:10" ht="13.2" x14ac:dyDescent="0.25">
      <c r="I896" s="2"/>
      <c r="J896" s="2"/>
    </row>
    <row r="897" spans="9:10" ht="13.2" x14ac:dyDescent="0.25">
      <c r="I897" s="2"/>
      <c r="J897" s="2"/>
    </row>
    <row r="898" spans="9:10" ht="13.2" x14ac:dyDescent="0.25">
      <c r="I898" s="2"/>
      <c r="J898" s="2"/>
    </row>
    <row r="899" spans="9:10" ht="13.2" x14ac:dyDescent="0.25">
      <c r="I899" s="2"/>
      <c r="J899" s="2"/>
    </row>
    <row r="900" spans="9:10" ht="13.2" x14ac:dyDescent="0.25">
      <c r="I900" s="2"/>
      <c r="J900" s="2"/>
    </row>
    <row r="901" spans="9:10" ht="13.2" x14ac:dyDescent="0.25">
      <c r="I901" s="2"/>
      <c r="J901" s="2"/>
    </row>
    <row r="902" spans="9:10" ht="13.2" x14ac:dyDescent="0.25">
      <c r="I902" s="2"/>
      <c r="J902" s="2"/>
    </row>
    <row r="903" spans="9:10" ht="13.2" x14ac:dyDescent="0.25">
      <c r="I903" s="2"/>
      <c r="J903" s="2"/>
    </row>
    <row r="904" spans="9:10" ht="13.2" x14ac:dyDescent="0.25">
      <c r="I904" s="2"/>
      <c r="J904" s="2"/>
    </row>
    <row r="905" spans="9:10" ht="13.2" x14ac:dyDescent="0.25">
      <c r="I905" s="2"/>
      <c r="J905" s="2"/>
    </row>
    <row r="906" spans="9:10" ht="13.2" x14ac:dyDescent="0.25">
      <c r="I906" s="2"/>
      <c r="J906" s="2"/>
    </row>
    <row r="907" spans="9:10" ht="13.2" x14ac:dyDescent="0.25">
      <c r="I907" s="2"/>
      <c r="J907" s="2"/>
    </row>
    <row r="908" spans="9:10" ht="13.2" x14ac:dyDescent="0.25">
      <c r="I908" s="2"/>
      <c r="J908" s="2"/>
    </row>
    <row r="909" spans="9:10" ht="13.2" x14ac:dyDescent="0.25">
      <c r="I909" s="2"/>
      <c r="J909" s="2"/>
    </row>
    <row r="910" spans="9:10" ht="13.2" x14ac:dyDescent="0.25">
      <c r="I910" s="2"/>
      <c r="J910" s="2"/>
    </row>
    <row r="911" spans="9:10" ht="13.2" x14ac:dyDescent="0.25">
      <c r="I911" s="2"/>
      <c r="J911" s="2"/>
    </row>
    <row r="912" spans="9:10" ht="13.2" x14ac:dyDescent="0.25">
      <c r="I912" s="2"/>
      <c r="J912" s="2"/>
    </row>
    <row r="913" spans="9:10" ht="13.2" x14ac:dyDescent="0.25">
      <c r="I913" s="2"/>
      <c r="J913" s="2"/>
    </row>
    <row r="914" spans="9:10" ht="13.2" x14ac:dyDescent="0.25">
      <c r="I914" s="2"/>
      <c r="J914" s="2"/>
    </row>
    <row r="915" spans="9:10" ht="13.2" x14ac:dyDescent="0.25">
      <c r="I915" s="2"/>
      <c r="J915" s="2"/>
    </row>
    <row r="916" spans="9:10" ht="13.2" x14ac:dyDescent="0.25">
      <c r="I916" s="2"/>
      <c r="J916" s="2"/>
    </row>
    <row r="917" spans="9:10" ht="13.2" x14ac:dyDescent="0.25">
      <c r="I917" s="2"/>
      <c r="J917" s="2"/>
    </row>
    <row r="918" spans="9:10" ht="13.2" x14ac:dyDescent="0.25">
      <c r="I918" s="2"/>
      <c r="J918" s="2"/>
    </row>
    <row r="919" spans="9:10" ht="13.2" x14ac:dyDescent="0.25">
      <c r="I919" s="2"/>
      <c r="J919" s="2"/>
    </row>
    <row r="920" spans="9:10" ht="13.2" x14ac:dyDescent="0.25">
      <c r="I920" s="2"/>
      <c r="J920" s="2"/>
    </row>
    <row r="921" spans="9:10" ht="13.2" x14ac:dyDescent="0.25">
      <c r="I921" s="2"/>
      <c r="J921" s="2"/>
    </row>
    <row r="922" spans="9:10" ht="13.2" x14ac:dyDescent="0.25">
      <c r="I922" s="2"/>
      <c r="J922" s="2"/>
    </row>
    <row r="923" spans="9:10" ht="13.2" x14ac:dyDescent="0.25">
      <c r="I923" s="2"/>
      <c r="J923" s="2"/>
    </row>
    <row r="924" spans="9:10" ht="13.2" x14ac:dyDescent="0.25">
      <c r="I924" s="2"/>
      <c r="J924" s="2"/>
    </row>
    <row r="925" spans="9:10" ht="13.2" x14ac:dyDescent="0.25">
      <c r="I925" s="2"/>
      <c r="J925" s="2"/>
    </row>
    <row r="926" spans="9:10" ht="13.2" x14ac:dyDescent="0.25">
      <c r="I926" s="2"/>
      <c r="J926" s="2"/>
    </row>
    <row r="927" spans="9:10" ht="13.2" x14ac:dyDescent="0.25">
      <c r="I927" s="2"/>
      <c r="J927" s="2"/>
    </row>
    <row r="928" spans="9:10" ht="13.2" x14ac:dyDescent="0.25">
      <c r="I928" s="2"/>
      <c r="J928" s="2"/>
    </row>
    <row r="929" spans="9:10" ht="13.2" x14ac:dyDescent="0.25">
      <c r="I929" s="2"/>
      <c r="J929" s="2"/>
    </row>
    <row r="930" spans="9:10" ht="13.2" x14ac:dyDescent="0.25">
      <c r="I930" s="2"/>
      <c r="J930" s="2"/>
    </row>
    <row r="931" spans="9:10" ht="13.2" x14ac:dyDescent="0.25">
      <c r="I931" s="2"/>
      <c r="J931" s="2"/>
    </row>
    <row r="932" spans="9:10" ht="13.2" x14ac:dyDescent="0.25">
      <c r="I932" s="2"/>
      <c r="J932" s="2"/>
    </row>
    <row r="933" spans="9:10" ht="13.2" x14ac:dyDescent="0.25">
      <c r="I933" s="2"/>
      <c r="J933" s="2"/>
    </row>
    <row r="934" spans="9:10" ht="13.2" x14ac:dyDescent="0.25">
      <c r="I934" s="2"/>
      <c r="J934" s="2"/>
    </row>
    <row r="935" spans="9:10" ht="13.2" x14ac:dyDescent="0.25">
      <c r="I935" s="2"/>
      <c r="J935" s="2"/>
    </row>
    <row r="936" spans="9:10" ht="13.2" x14ac:dyDescent="0.25">
      <c r="I936" s="2"/>
      <c r="J936" s="2"/>
    </row>
    <row r="937" spans="9:10" ht="13.2" x14ac:dyDescent="0.25">
      <c r="I937" s="2"/>
      <c r="J937" s="2"/>
    </row>
    <row r="938" spans="9:10" ht="13.2" x14ac:dyDescent="0.25">
      <c r="I938" s="2"/>
      <c r="J938" s="2"/>
    </row>
    <row r="939" spans="9:10" ht="13.2" x14ac:dyDescent="0.25">
      <c r="I939" s="2"/>
      <c r="J939" s="2"/>
    </row>
    <row r="940" spans="9:10" ht="13.2" x14ac:dyDescent="0.25">
      <c r="I940" s="2"/>
      <c r="J940" s="2"/>
    </row>
    <row r="941" spans="9:10" ht="13.2" x14ac:dyDescent="0.25">
      <c r="I941" s="2"/>
      <c r="J941" s="2"/>
    </row>
    <row r="942" spans="9:10" ht="13.2" x14ac:dyDescent="0.25">
      <c r="I942" s="2"/>
      <c r="J942" s="2"/>
    </row>
    <row r="943" spans="9:10" ht="13.2" x14ac:dyDescent="0.25">
      <c r="I943" s="2"/>
      <c r="J943" s="2"/>
    </row>
    <row r="944" spans="9:10" ht="13.2" x14ac:dyDescent="0.25">
      <c r="I944" s="2"/>
      <c r="J944" s="2"/>
    </row>
    <row r="945" spans="9:10" ht="13.2" x14ac:dyDescent="0.25">
      <c r="I945" s="2"/>
      <c r="J945" s="2"/>
    </row>
    <row r="946" spans="9:10" ht="13.2" x14ac:dyDescent="0.25">
      <c r="I946" s="2"/>
      <c r="J946" s="2"/>
    </row>
    <row r="947" spans="9:10" ht="13.2" x14ac:dyDescent="0.25">
      <c r="I947" s="2"/>
      <c r="J947" s="2"/>
    </row>
    <row r="948" spans="9:10" ht="13.2" x14ac:dyDescent="0.25">
      <c r="I948" s="2"/>
      <c r="J948" s="2"/>
    </row>
    <row r="949" spans="9:10" ht="13.2" x14ac:dyDescent="0.25">
      <c r="I949" s="2"/>
      <c r="J949" s="2"/>
    </row>
    <row r="950" spans="9:10" ht="13.2" x14ac:dyDescent="0.25"/>
  </sheetData>
  <mergeCells count="467">
    <mergeCell ref="I2:I3"/>
    <mergeCell ref="J60:J61"/>
    <mergeCell ref="K60:K61"/>
    <mergeCell ref="L60:L61"/>
    <mergeCell ref="M60:M61"/>
    <mergeCell ref="J62:J63"/>
    <mergeCell ref="K62:K63"/>
    <mergeCell ref="L62:L63"/>
    <mergeCell ref="M62:M63"/>
    <mergeCell ref="J64:J65"/>
    <mergeCell ref="K64:K65"/>
    <mergeCell ref="L64:L65"/>
    <mergeCell ref="M64:M65"/>
    <mergeCell ref="J58:J59"/>
    <mergeCell ref="K58:K59"/>
    <mergeCell ref="L58:L59"/>
    <mergeCell ref="M58:M59"/>
    <mergeCell ref="A58:A59"/>
    <mergeCell ref="B58:B59"/>
    <mergeCell ref="C58:C59"/>
    <mergeCell ref="D58:D59"/>
    <mergeCell ref="H58:H59"/>
    <mergeCell ref="J54:J55"/>
    <mergeCell ref="K54:K55"/>
    <mergeCell ref="L54:L55"/>
    <mergeCell ref="M54:M55"/>
    <mergeCell ref="J56:J57"/>
    <mergeCell ref="K56:K57"/>
    <mergeCell ref="L56:L57"/>
    <mergeCell ref="M56:M57"/>
    <mergeCell ref="A60:A61"/>
    <mergeCell ref="B60:B61"/>
    <mergeCell ref="C60:C61"/>
    <mergeCell ref="D60:D61"/>
    <mergeCell ref="H60:H61"/>
    <mergeCell ref="A62:A63"/>
    <mergeCell ref="B62:B63"/>
    <mergeCell ref="C62:C63"/>
    <mergeCell ref="D62:D63"/>
    <mergeCell ref="H62:H63"/>
    <mergeCell ref="A54:A55"/>
    <mergeCell ref="J52:J53"/>
    <mergeCell ref="K52:K53"/>
    <mergeCell ref="L52:L53"/>
    <mergeCell ref="M52:M53"/>
    <mergeCell ref="A52:A53"/>
    <mergeCell ref="B52:B53"/>
    <mergeCell ref="C52:C53"/>
    <mergeCell ref="D52:D53"/>
    <mergeCell ref="H52:H53"/>
    <mergeCell ref="B54:B55"/>
    <mergeCell ref="C54:C55"/>
    <mergeCell ref="D54:D55"/>
    <mergeCell ref="H54:H55"/>
    <mergeCell ref="A56:A57"/>
    <mergeCell ref="B56:B57"/>
    <mergeCell ref="C56:C57"/>
    <mergeCell ref="D56:D57"/>
    <mergeCell ref="H56:H57"/>
    <mergeCell ref="J50:J51"/>
    <mergeCell ref="K50:K51"/>
    <mergeCell ref="L50:L51"/>
    <mergeCell ref="M50:M51"/>
    <mergeCell ref="A50:A51"/>
    <mergeCell ref="B50:B51"/>
    <mergeCell ref="C50:C51"/>
    <mergeCell ref="D50:D51"/>
    <mergeCell ref="H50:H51"/>
    <mergeCell ref="J44:J45"/>
    <mergeCell ref="K44:K45"/>
    <mergeCell ref="L44:L45"/>
    <mergeCell ref="M44:M45"/>
    <mergeCell ref="J46:J47"/>
    <mergeCell ref="K46:K47"/>
    <mergeCell ref="L46:L47"/>
    <mergeCell ref="M46:M47"/>
    <mergeCell ref="J48:J49"/>
    <mergeCell ref="K48:K49"/>
    <mergeCell ref="L48:L49"/>
    <mergeCell ref="M48:M49"/>
    <mergeCell ref="J42:J43"/>
    <mergeCell ref="K42:K43"/>
    <mergeCell ref="L42:L43"/>
    <mergeCell ref="M42:M43"/>
    <mergeCell ref="A42:A43"/>
    <mergeCell ref="B42:B43"/>
    <mergeCell ref="C42:C43"/>
    <mergeCell ref="D42:D43"/>
    <mergeCell ref="H42:H43"/>
    <mergeCell ref="J38:J39"/>
    <mergeCell ref="K38:K39"/>
    <mergeCell ref="L38:L39"/>
    <mergeCell ref="M38:M39"/>
    <mergeCell ref="J40:J41"/>
    <mergeCell ref="K40:K41"/>
    <mergeCell ref="L40:L41"/>
    <mergeCell ref="M40:M41"/>
    <mergeCell ref="A38:A39"/>
    <mergeCell ref="B38:B39"/>
    <mergeCell ref="C38:C39"/>
    <mergeCell ref="D38:D39"/>
    <mergeCell ref="H38:H39"/>
    <mergeCell ref="A40:A41"/>
    <mergeCell ref="B40:B41"/>
    <mergeCell ref="C40:C41"/>
    <mergeCell ref="D40:D41"/>
    <mergeCell ref="H40:H41"/>
    <mergeCell ref="J36:J37"/>
    <mergeCell ref="K36:K37"/>
    <mergeCell ref="L36:L37"/>
    <mergeCell ref="M36:M37"/>
    <mergeCell ref="A36:A37"/>
    <mergeCell ref="B36:B37"/>
    <mergeCell ref="C36:C37"/>
    <mergeCell ref="D36:D37"/>
    <mergeCell ref="H36:H37"/>
    <mergeCell ref="L34:L35"/>
    <mergeCell ref="M34:M35"/>
    <mergeCell ref="A34:A35"/>
    <mergeCell ref="B34:B35"/>
    <mergeCell ref="C34:C35"/>
    <mergeCell ref="D34:D35"/>
    <mergeCell ref="H34:H35"/>
    <mergeCell ref="A32:A33"/>
    <mergeCell ref="B32:B33"/>
    <mergeCell ref="C32:C33"/>
    <mergeCell ref="D32:D33"/>
    <mergeCell ref="H32:H33"/>
    <mergeCell ref="J34:J35"/>
    <mergeCell ref="K34:K35"/>
    <mergeCell ref="J102:J103"/>
    <mergeCell ref="K102:K103"/>
    <mergeCell ref="L102:L103"/>
    <mergeCell ref="M102:M103"/>
    <mergeCell ref="K104:M104"/>
    <mergeCell ref="K105:M105"/>
    <mergeCell ref="A102:A103"/>
    <mergeCell ref="A106:A107"/>
    <mergeCell ref="B106:B107"/>
    <mergeCell ref="C106:C107"/>
    <mergeCell ref="D106:D107"/>
    <mergeCell ref="J100:J101"/>
    <mergeCell ref="K100:K101"/>
    <mergeCell ref="L100:L101"/>
    <mergeCell ref="M100:M101"/>
    <mergeCell ref="A100:A101"/>
    <mergeCell ref="B100:B101"/>
    <mergeCell ref="C100:C101"/>
    <mergeCell ref="D100:D101"/>
    <mergeCell ref="H100:H101"/>
    <mergeCell ref="J98:J99"/>
    <mergeCell ref="K98:K99"/>
    <mergeCell ref="L98:L99"/>
    <mergeCell ref="M98:M99"/>
    <mergeCell ref="A98:A99"/>
    <mergeCell ref="B98:B99"/>
    <mergeCell ref="C98:C99"/>
    <mergeCell ref="D98:D99"/>
    <mergeCell ref="H98:H99"/>
    <mergeCell ref="H102:H103"/>
    <mergeCell ref="H104:H105"/>
    <mergeCell ref="A96:A97"/>
    <mergeCell ref="B96:B97"/>
    <mergeCell ref="C96:C97"/>
    <mergeCell ref="D96:D97"/>
    <mergeCell ref="H96:H97"/>
    <mergeCell ref="H94:H95"/>
    <mergeCell ref="A104:A105"/>
    <mergeCell ref="B104:B105"/>
    <mergeCell ref="C104:C105"/>
    <mergeCell ref="D104:D105"/>
    <mergeCell ref="B102:B103"/>
    <mergeCell ref="C102:C103"/>
    <mergeCell ref="D102:D103"/>
    <mergeCell ref="J92:J93"/>
    <mergeCell ref="K92:K93"/>
    <mergeCell ref="L92:L93"/>
    <mergeCell ref="M92:M93"/>
    <mergeCell ref="J94:J95"/>
    <mergeCell ref="K94:K95"/>
    <mergeCell ref="L94:L95"/>
    <mergeCell ref="M94:M95"/>
    <mergeCell ref="J96:J97"/>
    <mergeCell ref="K96:K97"/>
    <mergeCell ref="L96:L97"/>
    <mergeCell ref="M96:M97"/>
    <mergeCell ref="J90:J91"/>
    <mergeCell ref="K90:K91"/>
    <mergeCell ref="L90:L91"/>
    <mergeCell ref="M90:M91"/>
    <mergeCell ref="A90:A91"/>
    <mergeCell ref="B90:B91"/>
    <mergeCell ref="C90:C91"/>
    <mergeCell ref="D90:D91"/>
    <mergeCell ref="H90:H91"/>
    <mergeCell ref="A92:A93"/>
    <mergeCell ref="B92:B93"/>
    <mergeCell ref="C92:C93"/>
    <mergeCell ref="D92:D93"/>
    <mergeCell ref="H92:H93"/>
    <mergeCell ref="A94:A95"/>
    <mergeCell ref="B94:B95"/>
    <mergeCell ref="C94:C95"/>
    <mergeCell ref="D94:D95"/>
    <mergeCell ref="J86:J87"/>
    <mergeCell ref="K86:K87"/>
    <mergeCell ref="L86:L87"/>
    <mergeCell ref="M86:M87"/>
    <mergeCell ref="J88:J89"/>
    <mergeCell ref="K88:K89"/>
    <mergeCell ref="L88:L89"/>
    <mergeCell ref="M88:M89"/>
    <mergeCell ref="A86:A87"/>
    <mergeCell ref="B86:B87"/>
    <mergeCell ref="C86:C87"/>
    <mergeCell ref="D86:D87"/>
    <mergeCell ref="H86:H87"/>
    <mergeCell ref="A88:A89"/>
    <mergeCell ref="B88:B89"/>
    <mergeCell ref="C88:C89"/>
    <mergeCell ref="D88:D89"/>
    <mergeCell ref="H88:H89"/>
    <mergeCell ref="J84:J85"/>
    <mergeCell ref="K84:K85"/>
    <mergeCell ref="L84:L85"/>
    <mergeCell ref="M84:M85"/>
    <mergeCell ref="A84:A85"/>
    <mergeCell ref="B84:B85"/>
    <mergeCell ref="C84:C85"/>
    <mergeCell ref="D84:D85"/>
    <mergeCell ref="H84:H85"/>
    <mergeCell ref="L82:L83"/>
    <mergeCell ref="M82:M83"/>
    <mergeCell ref="A82:A83"/>
    <mergeCell ref="B82:B83"/>
    <mergeCell ref="C82:C83"/>
    <mergeCell ref="D82:D83"/>
    <mergeCell ref="H82:H83"/>
    <mergeCell ref="A80:A81"/>
    <mergeCell ref="B80:B81"/>
    <mergeCell ref="C80:C81"/>
    <mergeCell ref="D80:D81"/>
    <mergeCell ref="H80:H81"/>
    <mergeCell ref="J82:J83"/>
    <mergeCell ref="K82:K83"/>
    <mergeCell ref="H78:H79"/>
    <mergeCell ref="J76:J77"/>
    <mergeCell ref="K76:K77"/>
    <mergeCell ref="L76:L77"/>
    <mergeCell ref="M76:M77"/>
    <mergeCell ref="J78:J79"/>
    <mergeCell ref="K78:K79"/>
    <mergeCell ref="L78:L79"/>
    <mergeCell ref="M78:M79"/>
    <mergeCell ref="J80:J81"/>
    <mergeCell ref="K80:K81"/>
    <mergeCell ref="L80:L81"/>
    <mergeCell ref="M80:M81"/>
    <mergeCell ref="J74:J75"/>
    <mergeCell ref="K74:K75"/>
    <mergeCell ref="L74:L75"/>
    <mergeCell ref="M74:M75"/>
    <mergeCell ref="A74:A75"/>
    <mergeCell ref="B74:B75"/>
    <mergeCell ref="C74:C75"/>
    <mergeCell ref="D74:D75"/>
    <mergeCell ref="H74:H75"/>
    <mergeCell ref="A76:A77"/>
    <mergeCell ref="B76:B77"/>
    <mergeCell ref="C76:C77"/>
    <mergeCell ref="D76:D77"/>
    <mergeCell ref="H76:H77"/>
    <mergeCell ref="A78:A79"/>
    <mergeCell ref="B78:B79"/>
    <mergeCell ref="C78:C79"/>
    <mergeCell ref="D78:D79"/>
    <mergeCell ref="J70:J71"/>
    <mergeCell ref="K70:K71"/>
    <mergeCell ref="L70:L71"/>
    <mergeCell ref="M70:M71"/>
    <mergeCell ref="J72:J73"/>
    <mergeCell ref="K72:K73"/>
    <mergeCell ref="L72:L73"/>
    <mergeCell ref="M72:M73"/>
    <mergeCell ref="A70:A71"/>
    <mergeCell ref="B70:B71"/>
    <mergeCell ref="C70:C71"/>
    <mergeCell ref="D70:D71"/>
    <mergeCell ref="H70:H71"/>
    <mergeCell ref="A72:A73"/>
    <mergeCell ref="B72:B73"/>
    <mergeCell ref="C72:C73"/>
    <mergeCell ref="D72:D73"/>
    <mergeCell ref="H72:H73"/>
    <mergeCell ref="J68:J69"/>
    <mergeCell ref="K68:K69"/>
    <mergeCell ref="L68:L69"/>
    <mergeCell ref="M68:M69"/>
    <mergeCell ref="A68:A69"/>
    <mergeCell ref="B68:B69"/>
    <mergeCell ref="C68:C69"/>
    <mergeCell ref="D68:D69"/>
    <mergeCell ref="H68:H69"/>
    <mergeCell ref="L66:L67"/>
    <mergeCell ref="M66:M67"/>
    <mergeCell ref="A66:A67"/>
    <mergeCell ref="B66:B67"/>
    <mergeCell ref="C66:C67"/>
    <mergeCell ref="D66:D67"/>
    <mergeCell ref="H66:H67"/>
    <mergeCell ref="A64:A65"/>
    <mergeCell ref="B64:B65"/>
    <mergeCell ref="C64:C65"/>
    <mergeCell ref="D64:D65"/>
    <mergeCell ref="H64:H65"/>
    <mergeCell ref="J66:J67"/>
    <mergeCell ref="K66:K67"/>
    <mergeCell ref="A44:A45"/>
    <mergeCell ref="B44:B45"/>
    <mergeCell ref="C44:C45"/>
    <mergeCell ref="D44:D45"/>
    <mergeCell ref="H44:H45"/>
    <mergeCell ref="A46:A47"/>
    <mergeCell ref="B46:B47"/>
    <mergeCell ref="C46:C47"/>
    <mergeCell ref="D46:D47"/>
    <mergeCell ref="H46:H47"/>
    <mergeCell ref="A48:A49"/>
    <mergeCell ref="B48:B49"/>
    <mergeCell ref="C48:C49"/>
    <mergeCell ref="D48:D49"/>
    <mergeCell ref="H48:H49"/>
    <mergeCell ref="J28:J29"/>
    <mergeCell ref="K28:K29"/>
    <mergeCell ref="L28:L29"/>
    <mergeCell ref="M28:M29"/>
    <mergeCell ref="J30:J31"/>
    <mergeCell ref="K30:K31"/>
    <mergeCell ref="L30:L31"/>
    <mergeCell ref="M30:M31"/>
    <mergeCell ref="J32:J33"/>
    <mergeCell ref="K32:K33"/>
    <mergeCell ref="L32:L33"/>
    <mergeCell ref="M32:M33"/>
    <mergeCell ref="J26:J27"/>
    <mergeCell ref="K26:K27"/>
    <mergeCell ref="L26:L27"/>
    <mergeCell ref="M26:M27"/>
    <mergeCell ref="A26:A27"/>
    <mergeCell ref="B26:B27"/>
    <mergeCell ref="C26:C27"/>
    <mergeCell ref="D26:D27"/>
    <mergeCell ref="H26:H27"/>
    <mergeCell ref="J22:J23"/>
    <mergeCell ref="K22:K23"/>
    <mergeCell ref="L22:L23"/>
    <mergeCell ref="M22:M23"/>
    <mergeCell ref="J24:J25"/>
    <mergeCell ref="K24:K25"/>
    <mergeCell ref="L24:L25"/>
    <mergeCell ref="M24:M25"/>
    <mergeCell ref="A28:A29"/>
    <mergeCell ref="B28:B29"/>
    <mergeCell ref="C28:C29"/>
    <mergeCell ref="D28:D29"/>
    <mergeCell ref="H28:H29"/>
    <mergeCell ref="A30:A31"/>
    <mergeCell ref="B30:B31"/>
    <mergeCell ref="C30:C31"/>
    <mergeCell ref="D30:D31"/>
    <mergeCell ref="H30:H31"/>
    <mergeCell ref="A22:A23"/>
    <mergeCell ref="J20:J21"/>
    <mergeCell ref="K20:K21"/>
    <mergeCell ref="L20:L21"/>
    <mergeCell ref="M20:M21"/>
    <mergeCell ref="A20:A21"/>
    <mergeCell ref="B20:B21"/>
    <mergeCell ref="C20:C21"/>
    <mergeCell ref="D20:D21"/>
    <mergeCell ref="H20:H21"/>
    <mergeCell ref="B22:B23"/>
    <mergeCell ref="C22:C23"/>
    <mergeCell ref="D22:D23"/>
    <mergeCell ref="H22:H23"/>
    <mergeCell ref="A24:A25"/>
    <mergeCell ref="B24:B25"/>
    <mergeCell ref="C24:C25"/>
    <mergeCell ref="D24:D25"/>
    <mergeCell ref="H24:H25"/>
    <mergeCell ref="J18:J19"/>
    <mergeCell ref="K18:K19"/>
    <mergeCell ref="L18:L19"/>
    <mergeCell ref="M18:M19"/>
    <mergeCell ref="A18:A19"/>
    <mergeCell ref="B18:B19"/>
    <mergeCell ref="C18:C19"/>
    <mergeCell ref="D18:D19"/>
    <mergeCell ref="H18:H19"/>
    <mergeCell ref="J14:J15"/>
    <mergeCell ref="K14:K15"/>
    <mergeCell ref="L14:L15"/>
    <mergeCell ref="M14:M15"/>
    <mergeCell ref="J16:J17"/>
    <mergeCell ref="K16:K17"/>
    <mergeCell ref="L16:L17"/>
    <mergeCell ref="M16:M17"/>
    <mergeCell ref="A16:A17"/>
    <mergeCell ref="B16:B17"/>
    <mergeCell ref="C16:C17"/>
    <mergeCell ref="D16:D17"/>
    <mergeCell ref="H16:H17"/>
    <mergeCell ref="M10:M11"/>
    <mergeCell ref="A10:A11"/>
    <mergeCell ref="B10:B11"/>
    <mergeCell ref="C10:C11"/>
    <mergeCell ref="D10:D11"/>
    <mergeCell ref="H10:H11"/>
    <mergeCell ref="J12:J13"/>
    <mergeCell ref="K12:K13"/>
    <mergeCell ref="L12:L13"/>
    <mergeCell ref="M12:M13"/>
    <mergeCell ref="B8:B9"/>
    <mergeCell ref="C8:C9"/>
    <mergeCell ref="D8:D9"/>
    <mergeCell ref="H8:H9"/>
    <mergeCell ref="J10:J11"/>
    <mergeCell ref="K10:K11"/>
    <mergeCell ref="L10:L11"/>
    <mergeCell ref="A12:A13"/>
    <mergeCell ref="B12:B13"/>
    <mergeCell ref="C12:C13"/>
    <mergeCell ref="D12:D13"/>
    <mergeCell ref="H12:H13"/>
    <mergeCell ref="A14:A15"/>
    <mergeCell ref="B14:B15"/>
    <mergeCell ref="C14:C15"/>
    <mergeCell ref="D14:D15"/>
    <mergeCell ref="H14:H15"/>
    <mergeCell ref="J6:J7"/>
    <mergeCell ref="K6:K7"/>
    <mergeCell ref="L6:L7"/>
    <mergeCell ref="M6:M7"/>
    <mergeCell ref="J8:J9"/>
    <mergeCell ref="K8:K9"/>
    <mergeCell ref="L8:L9"/>
    <mergeCell ref="M8:M9"/>
    <mergeCell ref="J4:J5"/>
    <mergeCell ref="K4:K5"/>
    <mergeCell ref="L4:L5"/>
    <mergeCell ref="M4:M5"/>
    <mergeCell ref="A2:A3"/>
    <mergeCell ref="B2:B3"/>
    <mergeCell ref="C2:C3"/>
    <mergeCell ref="D2:D3"/>
    <mergeCell ref="H2:H3"/>
    <mergeCell ref="A4:A5"/>
    <mergeCell ref="B4:B5"/>
    <mergeCell ref="C4:C5"/>
    <mergeCell ref="D4:D5"/>
    <mergeCell ref="H4:H5"/>
    <mergeCell ref="A6:A7"/>
    <mergeCell ref="B6:B7"/>
    <mergeCell ref="C6:C7"/>
    <mergeCell ref="D6:D7"/>
    <mergeCell ref="H6:H7"/>
    <mergeCell ref="A8:A9"/>
  </mergeCells>
  <hyperlinks>
    <hyperlink ref="N5" r:id="rId1" xr:uid="{00000000-0004-0000-0000-000002000000}"/>
    <hyperlink ref="K50" r:id="rId2" xr:uid="{00000000-0004-0000-0000-000003000000}"/>
    <hyperlink ref="N73" r:id="rId3" xr:uid="{00000000-0004-0000-0000-000004000000}"/>
    <hyperlink ref="N87" r:id="rId4" xr:uid="{00000000-0004-0000-0000-000005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f8a142f-f8e1-47f5-bdab-718b4b85da93}" enabled="1" method="Standard" siteId="{b287c0b1-6968-4dc8-9732-8d00f2760e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rozvrh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Tonder Michal</dc:creator>
  <cp:lastModifiedBy>Tonder Michal</cp:lastModifiedBy>
  <dcterms:created xsi:type="dcterms:W3CDTF">2026-08-20T19:51:22Z</dcterms:created>
  <dcterms:modified xsi:type="dcterms:W3CDTF">2026-08-20T21:21:24Z</dcterms:modified>
</cp:coreProperties>
</file>